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ummary" sheetId="1" state="visible" r:id="rId3"/>
    <sheet name="PERT Labor Estimates" sheetId="2" state="visible" r:id="rId4"/>
    <sheet name="Line Item 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<sst xmlns="http://schemas.openxmlformats.org/spreadsheetml/2006/main" count="641" uniqueCount="339">
  <si>
    <t xml:space="preserve">Address Redacted  ·  RENOVATION PROJECT BUDGET</t>
  </si>
  <si>
    <t xml:space="preserve">Pasadena, TX  |  Active Renovation  |  Budget as of 2025</t>
  </si>
  <si>
    <t xml:space="preserve">DEAL SUMMARY</t>
  </si>
  <si>
    <t xml:space="preserve">Metric</t>
  </si>
  <si>
    <t xml:space="preserve">Value</t>
  </si>
  <si>
    <t xml:space="preserve">Purchase Price</t>
  </si>
  <si>
    <t xml:space="preserve">ARV (Low Estimate)</t>
  </si>
  <si>
    <t xml:space="preserve">Net Acquisition Cost</t>
  </si>
  <si>
    <t xml:space="preserve">ARV (High Estimate)</t>
  </si>
  <si>
    <t xml:space="preserve">Pre-Reno Appraised Value</t>
  </si>
  <si>
    <t xml:space="preserve">Projected Profit (Low)</t>
  </si>
  <si>
    <t xml:space="preserve">Total Renovation Budget</t>
  </si>
  <si>
    <t xml:space="preserve">Projected Profit (High)</t>
  </si>
  <si>
    <t xml:space="preserve">TOTAL ALL-IN COST</t>
  </si>
  <si>
    <t xml:space="preserve">Return on Cost (Low)</t>
  </si>
  <si>
    <t xml:space="preserve">Instant Equity (Pre-Reno)</t>
  </si>
  <si>
    <t xml:space="preserve">Return on Cost (High)</t>
  </si>
  <si>
    <t xml:space="preserve">Color Key:   Blue text = Hardcoded input   |   Black = Formula   |   Green = Cross-sheet link   |   PERT = (Opt + 4×ML + Pess) ÷ 6 hrs × $25/hr</t>
  </si>
  <si>
    <t xml:space="preserve">HOUSE ACQUISITION</t>
  </si>
  <si>
    <t xml:space="preserve">Description</t>
  </si>
  <si>
    <t xml:space="preserve">Amount</t>
  </si>
  <si>
    <t xml:space="preserve">—</t>
  </si>
  <si>
    <t xml:space="preserve">Total</t>
  </si>
  <si>
    <t xml:space="preserve">Notes / Assumptions</t>
  </si>
  <si>
    <t xml:space="preserve">Reference</t>
  </si>
  <si>
    <t xml:space="preserve">Property Purchase Price</t>
  </si>
  <si>
    <t xml:space="preserve">Agreed sale price</t>
  </si>
  <si>
    <t xml:space="preserve">Purchase Agreement</t>
  </si>
  <si>
    <t xml:space="preserve">Loan / Mortgage Amount</t>
  </si>
  <si>
    <t xml:space="preserve">Financed portion (informational)</t>
  </si>
  <si>
    <t xml:space="preserve">Lender / Loan Docs</t>
  </si>
  <si>
    <t xml:space="preserve">Down Payment (Cash Equity)</t>
  </si>
  <si>
    <t xml:space="preserve">Purchase price minus loan</t>
  </si>
  <si>
    <t xml:space="preserve">Calculated</t>
  </si>
  <si>
    <t xml:space="preserve">Total w/ All Closing Fees</t>
  </si>
  <si>
    <t xml:space="preserve">Includes title, escrow &amp; all fees</t>
  </si>
  <si>
    <t xml:space="preserve">Settlement Statement</t>
  </si>
  <si>
    <t xml:space="preserve">Seller Contribution</t>
  </si>
  <si>
    <t xml:space="preserve">Seller-paid closing cost credit</t>
  </si>
  <si>
    <t xml:space="preserve">NET ACQUISITION COST</t>
  </si>
  <si>
    <t xml:space="preserve">Total closing cost minus seller contribution</t>
  </si>
  <si>
    <t xml:space="preserve">CONTRACTOR BIDS  (Material &amp; Labor Included in Bid Price)</t>
  </si>
  <si>
    <t xml:space="preserve">Material
Cost</t>
  </si>
  <si>
    <t xml:space="preserve">Labor
Hours</t>
  </si>
  <si>
    <t xml:space="preserve">Labor
Cost</t>
  </si>
  <si>
    <t xml:space="preserve">Total
Cost</t>
  </si>
  <si>
    <t xml:space="preserve">Source / Detail</t>
  </si>
  <si>
    <t xml:space="preserve">Foundation + Flatwork
(Driveway &amp; Sidewalk)</t>
  </si>
  <si>
    <t xml:space="preserve">Bundled</t>
  </si>
  <si>
    <t xml:space="preserve">Incl. $2,000 discount; Driveway, Sidewalk, Interior metal beam under BR2</t>
  </si>
  <si>
    <t xml:space="preserve">Contractor Bid</t>
  </si>
  <si>
    <t xml:space="preserve">New Roof (incl. Tear-Off)</t>
  </si>
  <si>
    <t xml:space="preserve">Incl. $1,200 discount; full tear-off &amp; replace</t>
  </si>
  <si>
    <t xml:space="preserve">Electrical Panel Upgrade
(100A → 200A)</t>
  </si>
  <si>
    <t xml:space="preserve">Service upgrade; incl. panel + breakers + permit + labor</t>
  </si>
  <si>
    <t xml:space="preserve">CONTRACTOR SUBTOTAL</t>
  </si>
  <si>
    <t xml:space="preserve">SELF-MANAGED WORK  (Material + Labor @ $25/hr)</t>
  </si>
  <si>
    <t xml:space="preserve">Category</t>
  </si>
  <si>
    <t xml:space="preserve">Includes</t>
  </si>
  <si>
    <t xml:space="preserve">Source</t>
  </si>
  <si>
    <t xml:space="preserve">Exterior Envelope</t>
  </si>
  <si>
    <t xml:space="preserve">Siding, sheathing, eave, insulation, windows/door, wall framing, gutters, covered deck, shed removal</t>
  </si>
  <si>
    <t xml:space="preserve">PERT + LID sheets</t>
  </si>
  <si>
    <t xml:space="preserve">Exterior Finishes</t>
  </si>
  <si>
    <t xml:space="preserve">Exterior paint, fence (full perimeter)</t>
  </si>
  <si>
    <t xml:space="preserve">Interior Systems</t>
  </si>
  <si>
    <t xml:space="preserve">HVAC, electrical rough-in, water heater</t>
  </si>
  <si>
    <t xml:space="preserve">Interior Finishes</t>
  </si>
  <si>
    <t xml:space="preserve">Doors, interior paint, laundry, garage drywall, 1/2 bath, full bath</t>
  </si>
  <si>
    <t xml:space="preserve">Outdoor Structures</t>
  </si>
  <si>
    <t xml:space="preserve">Included in Exterior Envelope</t>
  </si>
  <si>
    <t xml:space="preserve">Misc / Contingency</t>
  </si>
  <si>
    <t xml:space="preserve">Buffer for extras not captured elsewhere</t>
  </si>
  <si>
    <t xml:space="preserve">Hardcoded estimate</t>
  </si>
  <si>
    <t xml:space="preserve">SELF-MANAGED SUBTOTAL</t>
  </si>
  <si>
    <t xml:space="preserve">Total Labor Hrs</t>
  </si>
  <si>
    <t xml:space="preserve">Total Labor Cost</t>
  </si>
  <si>
    <t xml:space="preserve">Total Project Cost</t>
  </si>
  <si>
    <t xml:space="preserve">★   TOTAL PROJECT COST</t>
  </si>
  <si>
    <t xml:space="preserve">PERT LABOR COST ESTIMATES</t>
  </si>
  <si>
    <t xml:space="preserve">LABOR RATE ($/hr):</t>
  </si>
  <si>
    <t xml:space="preserve">Trade / Item</t>
  </si>
  <si>
    <t xml:space="preserve">Fixed Hrs
(override)</t>
  </si>
  <si>
    <t xml:space="preserve">Opt
(hrs)</t>
  </si>
  <si>
    <t xml:space="preserve">Most Likely
(hrs)</t>
  </si>
  <si>
    <t xml:space="preserve">Pess
(hrs)</t>
  </si>
  <si>
    <t xml:space="preserve">PERT
Hours</t>
  </si>
  <si>
    <t xml:space="preserve">Labor Cost
(@ $25/hr)</t>
  </si>
  <si>
    <t xml:space="preserve">Assumptions / Notes</t>
  </si>
  <si>
    <t xml:space="preserve">— EXTERIOR WORK —</t>
  </si>
  <si>
    <t xml:space="preserve">Siding / Trim</t>
  </si>
  <si>
    <t xml:space="preserve">Fixed 55 hrs — siding panels, trim install (140-hr pkg)</t>
  </si>
  <si>
    <t xml:space="preserve">Sheathing + WP</t>
  </si>
  <si>
    <t xml:space="preserve">Fixed 18 hrs — sheathing + waterproof membrane (140-hr pkg)</t>
  </si>
  <si>
    <t xml:space="preserve">Eave</t>
  </si>
  <si>
    <t xml:space="preserve">Fixed 25 hrs — carpenter, fascia &amp; soffit</t>
  </si>
  <si>
    <t xml:space="preserve">Exterior Paint</t>
  </si>
  <si>
    <t xml:space="preserve">Painter crew; pressure wash, prime, 2-coat spray</t>
  </si>
  <si>
    <t xml:space="preserve">Insulation</t>
  </si>
  <si>
    <t xml:space="preserve">Fixed 20 hrs — batt/blow-in whole house (140-hr pkg)</t>
  </si>
  <si>
    <t xml:space="preserve">Windows / Patio Door</t>
  </si>
  <si>
    <t xml:space="preserve">Fixed 22 hrs — remove, install, seal, trim (140-hr pkg)</t>
  </si>
  <si>
    <t xml:space="preserve">Fix Damaged Studs</t>
  </si>
  <si>
    <t xml:space="preserve">Fixed 25 hrs — stud repair, sistering, blocking (140-hr pkg)</t>
  </si>
  <si>
    <t xml:space="preserve">New Fence</t>
  </si>
  <si>
    <t xml:space="preserve">Fence crew; panels, rails, gates, hardware</t>
  </si>
  <si>
    <t xml:space="preserve">Gutters</t>
  </si>
  <si>
    <t xml:space="preserve">Gutter crew; hang sections, install outlets, downspouts, grade &amp; test</t>
  </si>
  <si>
    <t xml:space="preserve">Covered Deck</t>
  </si>
  <si>
    <t xml:space="preserve">Carpenter; framing, decking, metal roof</t>
  </si>
  <si>
    <t xml:space="preserve">Shed Remove</t>
  </si>
  <si>
    <t xml:space="preserve">Demo, load, haul — confirm dumpster</t>
  </si>
  <si>
    <t xml:space="preserve">— INTERIOR &amp; RENOVATION —</t>
  </si>
  <si>
    <t xml:space="preserve">Water Heater</t>
  </si>
  <si>
    <t xml:space="preserve">Plumber: connections, drain pan, flush &amp; test</t>
  </si>
  <si>
    <t xml:space="preserve">Electrical (Rough-In)</t>
  </si>
  <si>
    <t xml:space="preserve">Licensed electrician; rough-in wiring &amp; devices</t>
  </si>
  <si>
    <t xml:space="preserve">HVAC</t>
  </si>
  <si>
    <t xml:space="preserve">HVAC tech; refrigerant, ductwork, startup</t>
  </si>
  <si>
    <t xml:space="preserve">Doors</t>
  </si>
  <si>
    <t xml:space="preserve">Carpenter; hang, shim, hardware — all 6 doors</t>
  </si>
  <si>
    <t xml:space="preserve">Interior Paint</t>
  </si>
  <si>
    <t xml:space="preserve">Painter; walls/ceiling, trim, doors</t>
  </si>
  <si>
    <t xml:space="preserve">Laundry Rebuild</t>
  </si>
  <si>
    <t xml:space="preserve">Framer + plumber; wall framing + plumbing rough-in</t>
  </si>
  <si>
    <t xml:space="preserve">Garage Drywall</t>
  </si>
  <si>
    <t xml:space="preserve">Drywall finisher; hang, tape, mud, sand, prime</t>
  </si>
  <si>
    <t xml:space="preserve">1/2 Bath</t>
  </si>
  <si>
    <t xml:space="preserve">Tile setter + plumber/electrician; tile, toilet, faucet, mirror, exhaust fan</t>
  </si>
  <si>
    <t xml:space="preserve">Full Bath</t>
  </si>
  <si>
    <t xml:space="preserve">Tile setter + plumber + carpenter; tile, shower, vanity, faucet, sink rough-in, exhaust fan</t>
  </si>
  <si>
    <t xml:space="preserve">TOTAL ESTIMATED LABOR</t>
  </si>
  <si>
    <t xml:space="preserve">1204 DUNSTAN RD  ·  LINE ITEM COST BREAKDOWNS</t>
  </si>
  <si>
    <t xml:space="preserve">Material costs by work category  |  Blue = input  |  Black = formula  |  Update quantities to match actual purchases</t>
  </si>
  <si>
    <t xml:space="preserve">SIDING  (64 linear ft)</t>
  </si>
  <si>
    <t xml:space="preserve">Component / Description</t>
  </si>
  <si>
    <t xml:space="preserve">Quantity</t>
  </si>
  <si>
    <t xml:space="preserve">Unit</t>
  </si>
  <si>
    <t xml:space="preserve">Unit Cost</t>
  </si>
  <si>
    <t xml:space="preserve">Line Total</t>
  </si>
  <si>
    <t xml:space="preserve">Notes</t>
  </si>
  <si>
    <t xml:space="preserve">Siding Panels</t>
  </si>
  <si>
    <t xml:space="preserve">ea</t>
  </si>
  <si>
    <t xml:space="preserve">LP Smartside 4×8 cedar stamped panel</t>
  </si>
  <si>
    <t xml:space="preserve">Nails</t>
  </si>
  <si>
    <t xml:space="preserve">box</t>
  </si>
  <si>
    <t xml:space="preserve">2-3/8 in. x 0.113 in. 21° Plastic Collated Exterior Galvanized Ring Shank Round Head Framing Nails 1000 per Box</t>
  </si>
  <si>
    <t xml:space="preserve">Siding Battens</t>
  </si>
  <si>
    <t xml:space="preserve">16'×4"×4/4 LP Smartside cedar stamped</t>
  </si>
  <si>
    <t xml:space="preserve">Subtotal</t>
  </si>
  <si>
    <t xml:space="preserve">SHEATHING + WATERPROOFING</t>
  </si>
  <si>
    <t xml:space="preserve">ForceField Plywood Sheathing</t>
  </si>
  <si>
    <t xml:space="preserve">Weather-resistant sheathing; existing partially retained</t>
  </si>
  <si>
    <t xml:space="preserve">ForceField Sheathing Seam Tape</t>
  </si>
  <si>
    <t xml:space="preserve">roll</t>
  </si>
  <si>
    <t xml:space="preserve">Seam sealing at panel joints</t>
  </si>
  <si>
    <t xml:space="preserve">EAVE  (fascia &amp; soffit)</t>
  </si>
  <si>
    <t xml:space="preserve">Plywood for Soffit</t>
  </si>
  <si>
    <t xml:space="preserve">This is for fixing a few sections of soffit - 3/8 sanded pine plywood</t>
  </si>
  <si>
    <t xml:space="preserve">Fascia - Corner</t>
  </si>
  <si>
    <t xml:space="preserve">This is for fixing a few rotted sections of soffit - 1"x12"x6' common pine</t>
  </si>
  <si>
    <t xml:space="preserve">Fascia - Straight</t>
  </si>
  <si>
    <t xml:space="preserve">This is for fixing a few rotted sections of soffit - s4s KD Pine 1x4x8</t>
  </si>
  <si>
    <t xml:space="preserve">Trim Nails</t>
  </si>
  <si>
    <t xml:space="preserve">1-1/2 in. Stainless Finishing Nails (50-Pack)</t>
  </si>
  <si>
    <t xml:space="preserve">INSULATION (south facing updated siding)</t>
  </si>
  <si>
    <t xml:space="preserve">Batt Insulation R-15</t>
  </si>
  <si>
    <t xml:space="preserve">pack</t>
  </si>
  <si>
    <t xml:space="preserve">R-15 Unfaced Fiberglass Insulation Batt 15 in. x 93 in.- 77 sq ft per bag</t>
  </si>
  <si>
    <t xml:space="preserve">GUTTERS</t>
  </si>
  <si>
    <t xml:space="preserve">Gutter Corner</t>
  </si>
  <si>
    <t xml:space="preserve">5"x10'</t>
  </si>
  <si>
    <t xml:space="preserve">Gutter Outlet</t>
  </si>
  <si>
    <t xml:space="preserve">Gutter Connector</t>
  </si>
  <si>
    <t xml:space="preserve">Includes 2 per pack</t>
  </si>
  <si>
    <t xml:space="preserve">Gutter Downspout Elbow</t>
  </si>
  <si>
    <t xml:space="preserve">3"x4"x10"</t>
  </si>
  <si>
    <t xml:space="preserve">Gutter Downspout</t>
  </si>
  <si>
    <t xml:space="preserve">Straight Gutter Section </t>
  </si>
  <si>
    <t xml:space="preserve">WINDOWS + PATIO DOOR</t>
  </si>
  <si>
    <t xml:space="preserve">Replacement Windows (double-hung)</t>
  </si>
  <si>
    <t xml:space="preserve">South facing windows, 4x - 36x60, 1x - 36x36</t>
  </si>
  <si>
    <t xml:space="preserve">Sliding Patio Door (6ft)</t>
  </si>
  <si>
    <t xml:space="preserve">72x80 ply gem slider</t>
  </si>
  <si>
    <t xml:space="preserve">Door Flashing</t>
  </si>
  <si>
    <t xml:space="preserve">Foam Sealant (cans)</t>
  </si>
  <si>
    <t xml:space="preserve">can</t>
  </si>
  <si>
    <t xml:space="preserve">Low-expansion, around window/door frames</t>
  </si>
  <si>
    <t xml:space="preserve">Window Flashing</t>
  </si>
  <si>
    <t xml:space="preserve">6'x50' peel and stick</t>
  </si>
  <si>
    <t xml:space="preserve">Window Mull</t>
  </si>
  <si>
    <t xml:space="preserve">Ply Gem Mull kit for 36x60 windows - price includes extra shipping</t>
  </si>
  <si>
    <t xml:space="preserve">Exterior Caulk (tubes)</t>
  </si>
  <si>
    <t xml:space="preserve">tube</t>
  </si>
  <si>
    <t xml:space="preserve">100% silicone, around trim perimeter</t>
  </si>
  <si>
    <t xml:space="preserve">EXTERIOR PAINT  (~1,050 sq ft)</t>
  </si>
  <si>
    <t xml:space="preserve">gal</t>
  </si>
  <si>
    <t xml:space="preserve">Semi-gloss SW (Lowes)</t>
  </si>
  <si>
    <t xml:space="preserve">Paint Brush</t>
  </si>
  <si>
    <t xml:space="preserve">For trim and cut-in</t>
  </si>
  <si>
    <t xml:space="preserve">Paint Roller Covers</t>
  </si>
  <si>
    <t xml:space="preserve">X-Large nap for siding texture</t>
  </si>
  <si>
    <t xml:space="preserve">Tape</t>
  </si>
  <si>
    <t xml:space="preserve">6-rolls per pack</t>
  </si>
  <si>
    <t xml:space="preserve">FENCE  (full perimeter, 5 pipe sections)</t>
  </si>
  <si>
    <t xml:space="preserve">Wood Post</t>
  </si>
  <si>
    <t xml:space="preserve">Added every 8', PT 4x4x8</t>
  </si>
  <si>
    <t xml:space="preserve">Horizontal Rails</t>
  </si>
  <si>
    <t xml:space="preserve">2 rails per 8' section</t>
  </si>
  <si>
    <t xml:space="preserve">Post Concrete (50lb bags)</t>
  </si>
  <si>
    <t xml:space="preserve">bag</t>
  </si>
  <si>
    <t xml:space="preserve">~2 bags per post, 60 lbs</t>
  </si>
  <si>
    <t xml:space="preserve">Gate Hardware Kit</t>
  </si>
  <si>
    <t xml:space="preserve">Caps, bands, ties, rail ends</t>
  </si>
  <si>
    <t xml:space="preserve">Screws</t>
  </si>
  <si>
    <t xml:space="preserve">#8, 1 5/8, 5lb box</t>
  </si>
  <si>
    <t xml:space="preserve">Pickets</t>
  </si>
  <si>
    <t xml:space="preserve">Vertical Pine PT, 5/8x5.5x6'</t>
  </si>
  <si>
    <t xml:space="preserve">WALL FRAMING REPAIR  (damaged studs)</t>
  </si>
  <si>
    <t xml:space="preserve">2×4 Studs (8ft)</t>
  </si>
  <si>
    <t xml:space="preserve">Stud replacement and sistering</t>
  </si>
  <si>
    <t xml:space="preserve">Framing Nails (left over)</t>
  </si>
  <si>
    <t xml:space="preserve">Construction screws for framing</t>
  </si>
  <si>
    <t xml:space="preserve">Blocking / Misc Lumber</t>
  </si>
  <si>
    <t xml:space="preserve">Backing and blocking material</t>
  </si>
  <si>
    <t xml:space="preserve">ELECTRICAL  (Rough-In Materials)</t>
  </si>
  <si>
    <t xml:space="preserve">Wire 12/2 (500 ft rolls)</t>
  </si>
  <si>
    <t xml:space="preserve">500 ft 12/2 per roll</t>
  </si>
  <si>
    <t xml:space="preserve">Wire 10/3 - Dryer + Water Heater</t>
  </si>
  <si>
    <t xml:space="preserve">100 ft for both clothes dryer and water heater (each 50 ft)</t>
  </si>
  <si>
    <t xml:space="preserve">Ceiling Fans</t>
  </si>
  <si>
    <t xml:space="preserve">Primary bedroom + 2 secondary bedrooms</t>
  </si>
  <si>
    <t xml:space="preserve">Receptacles (10-ct box)</t>
  </si>
  <si>
    <t xml:space="preserve">10 receptacles per box</t>
  </si>
  <si>
    <t xml:space="preserve">Wing-Nut Wire Connectors (250-ct)</t>
  </si>
  <si>
    <t xml:space="preserve">250-ct</t>
  </si>
  <si>
    <t xml:space="preserve">Recessed Lights (left over)</t>
  </si>
  <si>
    <t xml:space="preserve">Leviton Light Switches (10-ct pk)</t>
  </si>
  <si>
    <t xml:space="preserve">10 switches per box</t>
  </si>
  <si>
    <t xml:space="preserve">Electrical Boxes - Double</t>
  </si>
  <si>
    <t xml:space="preserve">paddle work box</t>
  </si>
  <si>
    <t xml:space="preserve">Electrical Boxes - Single Deep</t>
  </si>
  <si>
    <t xml:space="preserve">Electrical Boxes - Single Shallow</t>
  </si>
  <si>
    <t xml:space="preserve">Face Plates - Double</t>
  </si>
  <si>
    <t xml:space="preserve">Leviton decora</t>
  </si>
  <si>
    <t xml:space="preserve">Face Plates - Single (10-ct pack)</t>
  </si>
  <si>
    <t xml:space="preserve">Single pack of 10 - Leviton decora</t>
  </si>
  <si>
    <t xml:space="preserve">Smoke Detectors</t>
  </si>
  <si>
    <t xml:space="preserve">Ducting</t>
  </si>
  <si>
    <t xml:space="preserve">lot</t>
  </si>
  <si>
    <t xml:space="preserve">Flex + rigid duct run</t>
  </si>
  <si>
    <t xml:space="preserve">MR Cool 3-Ton Unit</t>
  </si>
  <si>
    <t xml:space="preserve">Condenser + lineset + air handler</t>
  </si>
  <si>
    <t xml:space="preserve">HVAC Vent Covers</t>
  </si>
  <si>
    <t xml:space="preserve">Supply &amp; return register covers</t>
  </si>
  <si>
    <t xml:space="preserve">WATER HEATER</t>
  </si>
  <si>
    <t xml:space="preserve">Water Heater (40-gal electric)</t>
  </si>
  <si>
    <t xml:space="preserve">40-gal tank unit</t>
  </si>
  <si>
    <t xml:space="preserve">Wire 10/3 (50 ft)</t>
  </si>
  <si>
    <t xml:space="preserve">Price listed under electrical - 30 amp @ 50 ft - 10/3 for water heater circuit</t>
  </si>
  <si>
    <t xml:space="preserve">DOORS  (6 Total)</t>
  </si>
  <si>
    <t xml:space="preserve">Doors (Interior slab)</t>
  </si>
  <si>
    <t xml:space="preserve">Door slab — casings are good</t>
  </si>
  <si>
    <t xml:space="preserve">Door Handle Exterior</t>
  </si>
  <si>
    <t xml:space="preserve">Door Handle Closets</t>
  </si>
  <si>
    <t xml:space="preserve">Door Handle with Locks</t>
  </si>
  <si>
    <t xml:space="preserve">Shims</t>
  </si>
  <si>
    <t xml:space="preserve">Wood shims</t>
  </si>
  <si>
    <t xml:space="preserve">Flush Finish Screws</t>
  </si>
  <si>
    <t xml:space="preserve">Door installation screws — 100 ct</t>
  </si>
  <si>
    <t xml:space="preserve">INTERIOR PAINT  (walls, trim &amp; doors)</t>
  </si>
  <si>
    <t xml:space="preserve">Interior Paint (Walls)</t>
  </si>
  <si>
    <t xml:space="preserve">BOGO 5-gal buckets, price per gal</t>
  </si>
  <si>
    <t xml:space="preserve">Interior Paint (Doors/Trim)</t>
  </si>
  <si>
    <t xml:space="preserve">Paint Brushes</t>
  </si>
  <si>
    <t xml:space="preserve">Angled cut brushes + standard</t>
  </si>
  <si>
    <t xml:space="preserve">Small nap for interiors</t>
  </si>
  <si>
    <t xml:space="preserve">Caulking (silicone)</t>
  </si>
  <si>
    <t xml:space="preserve">100% silicone, 24hr dry — trim gaps</t>
  </si>
  <si>
    <t xml:space="preserve">1/2 BATH RENOVATION</t>
  </si>
  <si>
    <t xml:space="preserve">Wall/Floor Tile</t>
  </si>
  <si>
    <t xml:space="preserve">sq ft</t>
  </si>
  <si>
    <t xml:space="preserve">25 sq ft — verify sq ft needed</t>
  </si>
  <si>
    <t xml:space="preserve">Pre-mixed Grout</t>
  </si>
  <si>
    <t xml:space="preserve">1 qt pre mixed grout</t>
  </si>
  <si>
    <t xml:space="preserve">Tile Thinset</t>
  </si>
  <si>
    <t xml:space="preserve">White Premixed Thin-Set</t>
  </si>
  <si>
    <t xml:space="preserve">Tile Leveling Post</t>
  </si>
  <si>
    <t xml:space="preserve">100 post</t>
  </si>
  <si>
    <t xml:space="preserve">Soffit Vent</t>
  </si>
  <si>
    <t xml:space="preserve">Exhaust Duct Coupler</t>
  </si>
  <si>
    <t xml:space="preserve">Exhaust Ducting</t>
  </si>
  <si>
    <t xml:space="preserve">4"x25' each</t>
  </si>
  <si>
    <t xml:space="preserve">Exhaust Fan</t>
  </si>
  <si>
    <t xml:space="preserve">50 cfm</t>
  </si>
  <si>
    <t xml:space="preserve">Tile Leveling Caps</t>
  </si>
  <si>
    <t xml:space="preserve">100 caps </t>
  </si>
  <si>
    <t xml:space="preserve">Toilet</t>
  </si>
  <si>
    <t xml:space="preserve">Bathroom Mirror</t>
  </si>
  <si>
    <t xml:space="preserve">Faucet</t>
  </si>
  <si>
    <t xml:space="preserve">Bathroom Light Fixture</t>
  </si>
  <si>
    <t xml:space="preserve">FULL BATH RENOVATION</t>
  </si>
  <si>
    <t xml:space="preserve">Curtain Rod</t>
  </si>
  <si>
    <t xml:space="preserve">Shower Valve and Fixture</t>
  </si>
  <si>
    <t xml:space="preserve">Shower Curtain</t>
  </si>
  <si>
    <t xml:space="preserve">Vanity Top</t>
  </si>
  <si>
    <t xml:space="preserve">Top + Sink, 49"</t>
  </si>
  <si>
    <t xml:space="preserve">Vanity</t>
  </si>
  <si>
    <t xml:space="preserve">Plumbing Rough In (Sink)</t>
  </si>
  <si>
    <t xml:space="preserve">Shifting the sink over 1 ft</t>
  </si>
  <si>
    <t xml:space="preserve">80 cfm</t>
  </si>
  <si>
    <t xml:space="preserve">40" Mirror</t>
  </si>
  <si>
    <t xml:space="preserve">LAUNDRY UPDATE  (24'×8' wall)</t>
  </si>
  <si>
    <t xml:space="preserve">Dryer Exhaust Wall Box</t>
  </si>
  <si>
    <t xml:space="preserve">Drywall (1 sheet)</t>
  </si>
  <si>
    <t xml:space="preserve">sheet</t>
  </si>
  <si>
    <t xml:space="preserve">To hide ducting through garage closet</t>
  </si>
  <si>
    <t xml:space="preserve">2×4 Lumber for Framing</t>
  </si>
  <si>
    <t xml:space="preserve">Wall framing to enclose utility area</t>
  </si>
  <si>
    <t xml:space="preserve">Dryer Electrical</t>
  </si>
  <si>
    <t xml:space="preserve">30 amp breaker @ 50 ft requiring 10/3 wire - cost listed under electrical section</t>
  </si>
  <si>
    <t xml:space="preserve">GARAGE CEILING DRYWALL  (12'×18')</t>
  </si>
  <si>
    <t xml:space="preserve">Drywall (5/8 fire-x)</t>
  </si>
  <si>
    <t xml:space="preserve">Ceiling panels</t>
  </si>
  <si>
    <t xml:space="preserve">Drywall Screws (4,000 ct)</t>
  </si>
  <si>
    <t xml:space="preserve">Drywall Tape (250 ft)</t>
  </si>
  <si>
    <t xml:space="preserve">Drywall Mud (3.5 lb boxes)</t>
  </si>
  <si>
    <t xml:space="preserve">COVERED DECK  (19'×16' = 304 sq ft)</t>
  </si>
  <si>
    <t xml:space="preserve">Metal Roof Panels</t>
  </si>
  <si>
    <t xml:space="preserve">panel</t>
  </si>
  <si>
    <t xml:space="preserve">12'×2' panels (mix 12' and 8' to save)</t>
  </si>
  <si>
    <t xml:space="preserve">Deck Boards 14'</t>
  </si>
  <si>
    <t xml:space="preserve">5/4×4×14' — repairing damaged boards</t>
  </si>
  <si>
    <t xml:space="preserve">Deck Boards 16'</t>
  </si>
  <si>
    <t xml:space="preserve">5/4×4×16' — repairing damaged boards</t>
  </si>
  <si>
    <t xml:space="preserve">Deck Paint</t>
  </si>
  <si>
    <t xml:space="preserve">SHED REMOVAL</t>
  </si>
  <si>
    <t xml:space="preserve">Dumpster / Haul Fee</t>
  </si>
  <si>
    <t xml:space="preserve">Confirm dump truck availability and timing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</si>
</sst>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[RED]&quot;($&quot;#,##0\);\-"/>
    <numFmt numFmtId="166" formatCode="\$#,##0.00;[RED]&quot;($&quot;#,##0.00\);\-"/>
    <numFmt numFmtId="167" formatCode="0.0%"/>
    <numFmt numFmtId="168" formatCode="#,##0.0;[RED]\(#,##0.0\);\-"/>
    <numFmt numFmtId="169" formatCode="\$#,##0"/>
    <numFmt numFmtId="170" formatCode="0.0"/>
    <numFmt numFmtId="171" formatCode="\$#,##0;&quot;($&quot;#,##0\);\-"/>
    <numFmt numFmtId="172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7D4F00"/>
      <name val="Arial"/>
      <family val="0"/>
      <charset val="1"/>
    </font>
    <font>
      <b val="true"/>
      <sz val="11"/>
      <color rgb="FF7D4F00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sz val="10"/>
      <color rgb="FF595959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F4F4F"/>
        <bgColor rgb="FF4A4A4A"/>
      </patternFill>
    </fill>
    <fill>
      <patternFill patternType="solid">
        <fgColor rgb="FFD9D9D9"/>
        <bgColor rgb="FFBDD7EE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1F4E79"/>
        <bgColor rgb="FF2E549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4E79"/>
      </patternFill>
    </fill>
    <fill>
      <patternFill patternType="solid">
        <fgColor rgb="FF4A4A4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595959"/>
      <rgbColor rgb="FF9999FF"/>
      <rgbColor rgb="FF993366"/>
      <rgbColor rgb="FFFFF2CC"/>
      <rgbColor rgb="FFF2F2F2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2E8B57"/>
      <rgbColor rgb="FF2F4F4F"/>
      <rgbColor rgb="FF375623"/>
      <rgbColor rgb="FF7D4F00"/>
      <rgbColor rgb="FF993366"/>
      <rgbColor rgb="FF2E5496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H70"/>
  <sheetViews>
    <sheetView showFormulas="false" showGridLines="false" showRowColHeaders="true" showZeros="true" rightToLeft="false" tabSelected="true" showOutlineSymbols="true" defaultGridColor="true" view="normal" topLeftCell="B29" colorId="64" zoomScale="100" zoomScaleNormal="100" zoomScalePageLayoutView="100" workbookViewId="0">
      <selection pane="topLeft" activeCell="E39" activeCellId="0" sqref="E39"/>
    </sheetView>
  </sheetViews>
  <sheetFormatPr defaultColWidth="8.66796875" defaultRowHeight="14.25" zeroHeight="false" outlineLevelRow="0" outlineLevelCol="0"/>
  <cols>
    <col collapsed="false" customWidth="true" hidden="true" outlineLevel="0" max="1" min="1" style="0" width="2"/>
    <col collapsed="false" customWidth="true" hidden="false" outlineLevel="0" max="2" min="2" style="0" width="31"/>
    <col collapsed="false" customWidth="true" hidden="false" outlineLevel="0" max="3" min="3" style="0" width="14.78"/>
    <col collapsed="false" customWidth="true" hidden="false" outlineLevel="0" max="4" min="4" style="0" width="15.78"/>
    <col collapsed="false" customWidth="true" hidden="false" outlineLevel="0" max="5" min="5" style="0" width="21.88"/>
    <col collapsed="false" customWidth="true" hidden="false" outlineLevel="0" max="6" min="6" style="0" width="11"/>
    <col collapsed="false" customWidth="true" hidden="false" outlineLevel="0" max="7" min="7" style="0" width="57.88"/>
    <col collapsed="false" customWidth="true" hidden="false" outlineLevel="0" max="8" min="8" style="0" width="20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5.75" hidden="false" customHeight="true" outlineLevel="0" collapsed="false">
      <c r="B5" s="4" t="s">
        <v>3</v>
      </c>
      <c r="C5" s="4" t="s">
        <v>4</v>
      </c>
      <c r="E5" s="4" t="s">
        <v>3</v>
      </c>
      <c r="F5" s="4" t="s">
        <v>4</v>
      </c>
    </row>
    <row r="6" customFormat="false" ht="15.75" hidden="false" customHeight="true" outlineLevel="0" collapsed="false">
      <c r="B6" s="5" t="s">
        <v>5</v>
      </c>
      <c r="C6" s="6" t="n">
        <v>75200</v>
      </c>
      <c r="E6" s="5" t="s">
        <v>6</v>
      </c>
      <c r="F6" s="6" t="n">
        <v>215000</v>
      </c>
    </row>
    <row r="7" customFormat="false" ht="15.75" hidden="false" customHeight="true" outlineLevel="0" collapsed="false">
      <c r="B7" s="5" t="s">
        <v>7</v>
      </c>
      <c r="C7" s="7" t="n">
        <f aca="false">F22</f>
        <v>81125</v>
      </c>
      <c r="E7" s="5" t="s">
        <v>8</v>
      </c>
      <c r="F7" s="6" t="n">
        <v>230000</v>
      </c>
    </row>
    <row r="8" customFormat="false" ht="15.75" hidden="false" customHeight="true" outlineLevel="0" collapsed="false">
      <c r="B8" s="5" t="s">
        <v>9</v>
      </c>
      <c r="C8" s="6" t="n">
        <v>160000</v>
      </c>
      <c r="E8" s="5" t="s">
        <v>10</v>
      </c>
      <c r="F8" s="7" t="n">
        <f aca="false">F6-C10</f>
        <v>71852.3366666667</v>
      </c>
    </row>
    <row r="9" customFormat="false" ht="15.75" hidden="false" customHeight="true" outlineLevel="0" collapsed="false">
      <c r="B9" s="5" t="s">
        <v>11</v>
      </c>
      <c r="C9" s="7" t="n">
        <f aca="false">F29+F39</f>
        <v>62022.6633333333</v>
      </c>
      <c r="E9" s="5" t="s">
        <v>12</v>
      </c>
      <c r="F9" s="7" t="n">
        <f aca="false">F7-C10</f>
        <v>86852.3366666667</v>
      </c>
    </row>
    <row r="10" customFormat="false" ht="15.75" hidden="false" customHeight="true" outlineLevel="0" collapsed="false">
      <c r="B10" s="8" t="s">
        <v>13</v>
      </c>
      <c r="C10" s="9" t="n">
        <f aca="false">C7+C9</f>
        <v>143147.663333333</v>
      </c>
      <c r="E10" s="8" t="s">
        <v>14</v>
      </c>
      <c r="F10" s="10" t="n">
        <f aca="false">(F6-C10)/C10</f>
        <v>0.501945578387483</v>
      </c>
    </row>
    <row r="11" customFormat="false" ht="15.75" hidden="false" customHeight="true" outlineLevel="0" collapsed="false">
      <c r="B11" s="5" t="s">
        <v>15</v>
      </c>
      <c r="C11" s="7" t="n">
        <f aca="false">C8-C10</f>
        <v>16852.3366666667</v>
      </c>
      <c r="E11" s="5" t="s">
        <v>16</v>
      </c>
      <c r="F11" s="10" t="n">
        <f aca="false">(F7-C10)/C10</f>
        <v>0.606732479205214</v>
      </c>
    </row>
    <row r="12" customFormat="false" ht="15.75" hidden="false" customHeight="true" outlineLevel="0" collapsed="false"/>
    <row r="13" customFormat="false" ht="13.5" hidden="false" customHeight="true" outlineLevel="0" collapsed="false">
      <c r="B13" s="11" t="s">
        <v>17</v>
      </c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/>
    <row r="15" customFormat="false" ht="18" hidden="false" customHeight="true" outlineLevel="0" collapsed="false">
      <c r="B15" s="3" t="s">
        <v>18</v>
      </c>
      <c r="C15" s="3"/>
      <c r="D15" s="3"/>
      <c r="E15" s="3"/>
      <c r="F15" s="3"/>
      <c r="G15" s="3"/>
      <c r="H15" s="3"/>
    </row>
    <row r="16" customFormat="false" ht="27.75" hidden="false" customHeight="true" outlineLevel="0" collapsed="false">
      <c r="B16" s="4" t="s">
        <v>19</v>
      </c>
      <c r="C16" s="4" t="s">
        <v>20</v>
      </c>
      <c r="D16" s="4" t="s">
        <v>21</v>
      </c>
      <c r="E16" s="4" t="s">
        <v>21</v>
      </c>
      <c r="F16" s="4" t="s">
        <v>22</v>
      </c>
      <c r="G16" s="4" t="s">
        <v>23</v>
      </c>
      <c r="H16" s="4" t="s">
        <v>24</v>
      </c>
    </row>
    <row r="17" customFormat="false" ht="15" hidden="false" customHeight="true" outlineLevel="0" collapsed="false">
      <c r="B17" s="5" t="s">
        <v>25</v>
      </c>
      <c r="C17" s="12" t="n">
        <v>75200</v>
      </c>
      <c r="D17" s="13" t="s">
        <v>21</v>
      </c>
      <c r="E17" s="13" t="s">
        <v>21</v>
      </c>
      <c r="F17" s="7" t="n">
        <f aca="false">C17</f>
        <v>75200</v>
      </c>
      <c r="G17" s="14" t="s">
        <v>26</v>
      </c>
      <c r="H17" s="14" t="s">
        <v>27</v>
      </c>
    </row>
    <row r="18" customFormat="false" ht="15" hidden="false" customHeight="true" outlineLevel="0" collapsed="false">
      <c r="B18" s="5" t="s">
        <v>28</v>
      </c>
      <c r="C18" s="12" t="n">
        <v>71440</v>
      </c>
      <c r="D18" s="13" t="s">
        <v>21</v>
      </c>
      <c r="E18" s="13" t="s">
        <v>21</v>
      </c>
      <c r="F18" s="7" t="n">
        <f aca="false">C18</f>
        <v>71440</v>
      </c>
      <c r="G18" s="14" t="s">
        <v>29</v>
      </c>
      <c r="H18" s="14" t="s">
        <v>30</v>
      </c>
    </row>
    <row r="19" customFormat="false" ht="15" hidden="false" customHeight="true" outlineLevel="0" collapsed="false">
      <c r="B19" s="5" t="s">
        <v>31</v>
      </c>
      <c r="C19" s="12" t="n">
        <v>9685</v>
      </c>
      <c r="D19" s="13" t="s">
        <v>21</v>
      </c>
      <c r="E19" s="13" t="s">
        <v>21</v>
      </c>
      <c r="F19" s="7" t="n">
        <f aca="false">C19</f>
        <v>9685</v>
      </c>
      <c r="G19" s="14" t="s">
        <v>32</v>
      </c>
      <c r="H19" s="14" t="s">
        <v>33</v>
      </c>
    </row>
    <row r="20" customFormat="false" ht="15" hidden="false" customHeight="true" outlineLevel="0" collapsed="false">
      <c r="B20" s="5" t="s">
        <v>34</v>
      </c>
      <c r="C20" s="12" t="n">
        <v>83375</v>
      </c>
      <c r="D20" s="13" t="s">
        <v>21</v>
      </c>
      <c r="E20" s="13" t="s">
        <v>21</v>
      </c>
      <c r="F20" s="7" t="n">
        <f aca="false">C20</f>
        <v>83375</v>
      </c>
      <c r="G20" s="14" t="s">
        <v>35</v>
      </c>
      <c r="H20" s="14" t="s">
        <v>36</v>
      </c>
    </row>
    <row r="21" customFormat="false" ht="15" hidden="false" customHeight="true" outlineLevel="0" collapsed="false">
      <c r="B21" s="5" t="s">
        <v>37</v>
      </c>
      <c r="C21" s="12" t="n">
        <v>2250</v>
      </c>
      <c r="D21" s="13" t="s">
        <v>21</v>
      </c>
      <c r="E21" s="13" t="s">
        <v>21</v>
      </c>
      <c r="F21" s="7" t="n">
        <f aca="false">C21</f>
        <v>2250</v>
      </c>
      <c r="G21" s="14" t="s">
        <v>38</v>
      </c>
      <c r="H21" s="14" t="s">
        <v>36</v>
      </c>
    </row>
    <row r="22" customFormat="false" ht="15.75" hidden="false" customHeight="true" outlineLevel="0" collapsed="false">
      <c r="B22" s="15" t="s">
        <v>39</v>
      </c>
      <c r="D22" s="13" t="s">
        <v>21</v>
      </c>
      <c r="E22" s="13" t="s">
        <v>21</v>
      </c>
      <c r="F22" s="16" t="n">
        <f aca="false">C20-C21</f>
        <v>81125</v>
      </c>
      <c r="G22" s="14" t="s">
        <v>40</v>
      </c>
      <c r="H22" s="14" t="s">
        <v>33</v>
      </c>
    </row>
    <row r="23" customFormat="false" ht="21.75" hidden="false" customHeight="true" outlineLevel="0" collapsed="false"/>
    <row r="24" customFormat="false" ht="18" hidden="false" customHeight="true" outlineLevel="0" collapsed="false">
      <c r="B24" s="3" t="s">
        <v>41</v>
      </c>
      <c r="C24" s="3"/>
      <c r="D24" s="3"/>
      <c r="E24" s="3"/>
      <c r="F24" s="3"/>
      <c r="G24" s="3"/>
      <c r="H24" s="3"/>
    </row>
    <row r="25" customFormat="false" ht="27.75" hidden="false" customHeight="true" outlineLevel="0" collapsed="false">
      <c r="B25" s="4" t="s">
        <v>19</v>
      </c>
      <c r="C25" s="4" t="s">
        <v>42</v>
      </c>
      <c r="D25" s="4" t="s">
        <v>43</v>
      </c>
      <c r="E25" s="4" t="s">
        <v>44</v>
      </c>
      <c r="F25" s="4" t="s">
        <v>45</v>
      </c>
      <c r="G25" s="4" t="s">
        <v>23</v>
      </c>
      <c r="H25" s="4" t="s">
        <v>46</v>
      </c>
    </row>
    <row r="26" customFormat="false" ht="27.75" hidden="false" customHeight="true" outlineLevel="0" collapsed="false">
      <c r="B26" s="5" t="s">
        <v>47</v>
      </c>
      <c r="C26" s="13" t="s">
        <v>48</v>
      </c>
      <c r="D26" s="13" t="s">
        <v>48</v>
      </c>
      <c r="E26" s="17" t="n">
        <v>10627</v>
      </c>
      <c r="F26" s="7" t="n">
        <f aca="false">E26</f>
        <v>10627</v>
      </c>
      <c r="G26" s="14" t="s">
        <v>49</v>
      </c>
      <c r="H26" s="14" t="s">
        <v>50</v>
      </c>
    </row>
    <row r="27" customFormat="false" ht="27.75" hidden="false" customHeight="true" outlineLevel="0" collapsed="false">
      <c r="B27" s="5" t="s">
        <v>51</v>
      </c>
      <c r="C27" s="13" t="s">
        <v>48</v>
      </c>
      <c r="D27" s="13" t="s">
        <v>48</v>
      </c>
      <c r="E27" s="17" t="n">
        <v>8267.25</v>
      </c>
      <c r="F27" s="7" t="n">
        <f aca="false">E27</f>
        <v>8267.25</v>
      </c>
      <c r="G27" s="14" t="s">
        <v>52</v>
      </c>
      <c r="H27" s="14" t="s">
        <v>50</v>
      </c>
    </row>
    <row r="28" customFormat="false" ht="27.75" hidden="false" customHeight="true" outlineLevel="0" collapsed="false">
      <c r="B28" s="5" t="s">
        <v>53</v>
      </c>
      <c r="C28" s="13" t="s">
        <v>48</v>
      </c>
      <c r="D28" s="13" t="s">
        <v>48</v>
      </c>
      <c r="E28" s="17" t="n">
        <v>4300</v>
      </c>
      <c r="F28" s="7" t="n">
        <f aca="false">E28</f>
        <v>4300</v>
      </c>
      <c r="G28" s="14" t="s">
        <v>54</v>
      </c>
      <c r="H28" s="14" t="s">
        <v>50</v>
      </c>
    </row>
    <row r="29" customFormat="false" ht="15.75" hidden="false" customHeight="true" outlineLevel="0" collapsed="false">
      <c r="B29" s="15" t="s">
        <v>55</v>
      </c>
      <c r="F29" s="16" t="n">
        <f aca="false">SUM(F26:F28)</f>
        <v>23194.25</v>
      </c>
    </row>
    <row r="30" customFormat="false" ht="21.75" hidden="false" customHeight="true" outlineLevel="0" collapsed="false"/>
    <row r="31" customFormat="false" ht="18" hidden="false" customHeight="true" outlineLevel="0" collapsed="false">
      <c r="B31" s="3" t="s">
        <v>56</v>
      </c>
      <c r="C31" s="3"/>
      <c r="D31" s="3"/>
      <c r="E31" s="3"/>
      <c r="F31" s="3"/>
      <c r="G31" s="3"/>
      <c r="H31" s="3"/>
    </row>
    <row r="32" customFormat="false" ht="27.75" hidden="false" customHeight="true" outlineLevel="0" collapsed="false">
      <c r="B32" s="4" t="s">
        <v>57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58</v>
      </c>
      <c r="H32" s="4" t="s">
        <v>59</v>
      </c>
    </row>
    <row r="33" customFormat="false" ht="15" hidden="false" customHeight="true" outlineLevel="0" collapsed="false">
      <c r="B33" s="18" t="s">
        <v>60</v>
      </c>
      <c r="C33" s="19" t="n">
        <f aca="false">'Line Item Details'!F9+'Line Item Details'!F16+'Line Item Details'!F24+'Line Item Details'!F29+'Line Item Details'!F39+'Line Item Details'!F50+'Line Item Details'!F75+'Line Item Details'!F184+'Line Item Details'!F189</f>
        <v>5654.6</v>
      </c>
      <c r="D33" s="20" t="n">
        <f aca="false">'PERT Labor Estimates'!G7+'PERT Labor Estimates'!G8+'PERT Labor Estimates'!G9+'PERT Labor Estimates'!G11+'PERT Labor Estimates'!G12+'PERT Labor Estimates'!G13+'PERT Labor Estimates'!G15+'PERT Labor Estimates'!G16+'PERT Labor Estimates'!G17</f>
        <v>229.333333333333</v>
      </c>
      <c r="E33" s="19" t="n">
        <f aca="false">'PERT Labor Estimates'!H7+'PERT Labor Estimates'!H8+'PERT Labor Estimates'!H9+'PERT Labor Estimates'!H11+'PERT Labor Estimates'!H12+'PERT Labor Estimates'!H13+'PERT Labor Estimates'!H15+'PERT Labor Estimates'!H16+'PERT Labor Estimates'!H17</f>
        <v>5733.33333333333</v>
      </c>
      <c r="F33" s="21" t="n">
        <f aca="false">C33+E33</f>
        <v>11387.9333333333</v>
      </c>
      <c r="G33" s="14" t="s">
        <v>61</v>
      </c>
      <c r="H33" s="14" t="s">
        <v>62</v>
      </c>
    </row>
    <row r="34" customFormat="false" ht="15" hidden="false" customHeight="true" outlineLevel="0" collapsed="false">
      <c r="B34" s="18" t="s">
        <v>63</v>
      </c>
      <c r="C34" s="19" t="n">
        <f aca="false">'Line Item Details'!F58+'Line Item Details'!F68</f>
        <v>1624.4</v>
      </c>
      <c r="D34" s="20" t="n">
        <f aca="false">'PERT Labor Estimates'!G10+'PERT Labor Estimates'!G14</f>
        <v>67.3333333333333</v>
      </c>
      <c r="E34" s="19" t="n">
        <f aca="false">'PERT Labor Estimates'!H10+'PERT Labor Estimates'!H14</f>
        <v>1683.33333333333</v>
      </c>
      <c r="F34" s="21" t="n">
        <f aca="false">C34+E34</f>
        <v>3307.73333333333</v>
      </c>
      <c r="G34" s="14" t="s">
        <v>64</v>
      </c>
      <c r="H34" s="14" t="s">
        <v>62</v>
      </c>
    </row>
    <row r="35" customFormat="false" ht="15" hidden="false" customHeight="true" outlineLevel="0" collapsed="false">
      <c r="B35" s="18" t="s">
        <v>65</v>
      </c>
      <c r="C35" s="19" t="n">
        <f aca="false">'Line Item Details'!F92+'Line Item Details'!F99+'Line Item Details'!F105</f>
        <v>7313.9</v>
      </c>
      <c r="D35" s="20" t="n">
        <f aca="false">'PERT Labor Estimates'!G19+'PERT Labor Estimates'!G20+'PERT Labor Estimates'!G21</f>
        <v>127.833333333333</v>
      </c>
      <c r="E35" s="19" t="n">
        <f aca="false">'PERT Labor Estimates'!H19+'PERT Labor Estimates'!H20+'PERT Labor Estimates'!H21</f>
        <v>3195.83333333333</v>
      </c>
      <c r="F35" s="21" t="n">
        <f aca="false">C35+E35</f>
        <v>10509.7333333333</v>
      </c>
      <c r="G35" s="14" t="s">
        <v>66</v>
      </c>
      <c r="H35" s="14" t="s">
        <v>62</v>
      </c>
    </row>
    <row r="36" customFormat="false" ht="15" hidden="false" customHeight="true" outlineLevel="0" collapsed="false">
      <c r="B36" s="18" t="s">
        <v>67</v>
      </c>
      <c r="C36" s="19" t="n">
        <f aca="false">'Line Item Details'!F115+'Line Item Details'!F125+'Line Item Details'!F142+'Line Item Details'!F159+'Line Item Details'!F168+'Line Item Details'!F176</f>
        <v>4064.68</v>
      </c>
      <c r="D36" s="20" t="n">
        <f aca="false">'PERT Labor Estimates'!G22+'PERT Labor Estimates'!G23+'PERT Labor Estimates'!G24+'PERT Labor Estimates'!G25+'PERT Labor Estimates'!G26+'PERT Labor Estimates'!G27</f>
        <v>142.333333333333</v>
      </c>
      <c r="E36" s="19" t="n">
        <f aca="false">'PERT Labor Estimates'!H22+'PERT Labor Estimates'!H23+'PERT Labor Estimates'!H24+'PERT Labor Estimates'!H25+'PERT Labor Estimates'!H26+'PERT Labor Estimates'!H27</f>
        <v>3558.33333333333</v>
      </c>
      <c r="F36" s="21" t="n">
        <f aca="false">C36+E36</f>
        <v>7623.01333333333</v>
      </c>
      <c r="G36" s="14" t="s">
        <v>68</v>
      </c>
      <c r="H36" s="14" t="s">
        <v>62</v>
      </c>
    </row>
    <row r="37" customFormat="false" ht="15" hidden="false" customHeight="true" outlineLevel="0" collapsed="false">
      <c r="B37" s="18" t="s">
        <v>69</v>
      </c>
      <c r="C37" s="19" t="n">
        <v>0</v>
      </c>
      <c r="D37" s="20" t="n">
        <v>0</v>
      </c>
      <c r="E37" s="19" t="n">
        <v>0</v>
      </c>
      <c r="F37" s="21" t="n">
        <v>0</v>
      </c>
      <c r="G37" s="14" t="s">
        <v>70</v>
      </c>
      <c r="H37" s="14" t="s">
        <v>62</v>
      </c>
    </row>
    <row r="38" customFormat="false" ht="15" hidden="false" customHeight="true" outlineLevel="0" collapsed="false">
      <c r="B38" s="18" t="s">
        <v>71</v>
      </c>
      <c r="C38" s="22" t="n">
        <v>6000</v>
      </c>
      <c r="D38" s="23" t="n">
        <v>0</v>
      </c>
      <c r="E38" s="21" t="n">
        <f aca="false">D38*25</f>
        <v>0</v>
      </c>
      <c r="F38" s="21" t="n">
        <f aca="false">C38+E38</f>
        <v>6000</v>
      </c>
      <c r="G38" s="14" t="s">
        <v>72</v>
      </c>
      <c r="H38" s="14" t="s">
        <v>73</v>
      </c>
    </row>
    <row r="39" customFormat="false" ht="15.75" hidden="false" customHeight="true" outlineLevel="0" collapsed="false">
      <c r="B39" s="15" t="s">
        <v>74</v>
      </c>
      <c r="C39" s="16" t="n">
        <f aca="false">SUM(C33:C38)</f>
        <v>24657.58</v>
      </c>
      <c r="D39" s="24" t="n">
        <f aca="false">SUM(D33:D38)</f>
        <v>566.833333333333</v>
      </c>
      <c r="E39" s="16" t="n">
        <f aca="false">SUM(E33:E38)</f>
        <v>14170.8333333333</v>
      </c>
      <c r="F39" s="16" t="n">
        <f aca="false">SUM(F33:F38)</f>
        <v>38828.4133333333</v>
      </c>
    </row>
    <row r="40" customFormat="false" ht="21.75" hidden="false" customHeight="true" outlineLevel="0" collapsed="false"/>
    <row r="41" customFormat="false" ht="18" hidden="false" customHeight="true" outlineLevel="0" collapsed="false">
      <c r="B41" s="25"/>
      <c r="C41" s="26" t="s">
        <v>75</v>
      </c>
      <c r="D41" s="26" t="s">
        <v>76</v>
      </c>
      <c r="E41" s="26" t="s">
        <v>77</v>
      </c>
      <c r="F41" s="27"/>
      <c r="G41" s="27"/>
      <c r="H41" s="27"/>
    </row>
    <row r="42" customFormat="false" ht="21.75" hidden="false" customHeight="true" outlineLevel="0" collapsed="false">
      <c r="B42" s="28" t="s">
        <v>78</v>
      </c>
      <c r="C42" s="29" t="n">
        <f aca="false">D39</f>
        <v>566.833333333333</v>
      </c>
      <c r="D42" s="30" t="n">
        <f aca="false">E39</f>
        <v>14170.8333333333</v>
      </c>
      <c r="E42" s="30" t="n">
        <f aca="false">F22+F29+F39</f>
        <v>143147.663333333</v>
      </c>
      <c r="F42" s="27"/>
      <c r="G42" s="27"/>
      <c r="H42" s="27"/>
    </row>
    <row r="43" customFormat="false" ht="30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5.5" hidden="false" customHeight="true" outlineLevel="0" collapsed="false"/>
    <row r="58" customFormat="false" ht="6" hidden="false" customHeight="true" outlineLevel="0" collapsed="false"/>
    <row r="59" customFormat="false" ht="6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9.5" hidden="false" customHeight="true" outlineLevel="0" collapsed="false"/>
    <row r="69" customFormat="false" ht="15" hidden="false" customHeight="true" outlineLevel="0" collapsed="false"/>
    <row r="70" customFormat="false" ht="24" hidden="false" customHeight="true" outlineLevel="0" collapsed="false"/>
  </sheetData>
  <mergeCells count="7">
    <mergeCell ref="B1:H1"/>
    <mergeCell ref="B2:H2"/>
    <mergeCell ref="B4:H4"/>
    <mergeCell ref="B13:H13"/>
    <mergeCell ref="B15:H15"/>
    <mergeCell ref="B24:H24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H11" activeCellId="0" sqref="H11"/>
    </sheetView>
  </sheetViews>
  <sheetFormatPr defaultColWidth="8.66796875" defaultRowHeight="14.25" zeroHeight="false" outlineLevelRow="0" outlineLevelCol="0"/>
  <cols>
    <col collapsed="false" customWidth="true" hidden="tru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53.88"/>
  </cols>
  <sheetData>
    <row r="1" customFormat="false" ht="30" hidden="false" customHeight="true" outlineLevel="0" collapsed="false">
      <c r="B1" s="31" t="s">
        <v>79</v>
      </c>
      <c r="C1" s="31"/>
      <c r="D1" s="31"/>
      <c r="E1" s="31"/>
      <c r="F1" s="31"/>
      <c r="G1" s="31"/>
      <c r="H1" s="31"/>
      <c r="I1" s="31"/>
    </row>
    <row r="2" customFormat="false" ht="15.75" hidden="false" customHeight="true" outlineLevel="0" collapsed="false">
      <c r="B2" s="32"/>
      <c r="C2" s="32"/>
      <c r="D2" s="32"/>
      <c r="E2" s="32"/>
      <c r="F2" s="32"/>
      <c r="G2" s="32"/>
      <c r="H2" s="32"/>
      <c r="I2" s="32"/>
    </row>
    <row r="3" customFormat="false" ht="21.75" hidden="false" customHeight="true" outlineLevel="0" collapsed="false">
      <c r="B3" s="33" t="s">
        <v>80</v>
      </c>
      <c r="C3" s="33"/>
      <c r="D3" s="33"/>
      <c r="E3" s="34" t="n">
        <v>25</v>
      </c>
      <c r="F3" s="35"/>
      <c r="G3" s="35"/>
      <c r="H3" s="35"/>
      <c r="I3" s="35"/>
    </row>
    <row r="4" customFormat="false" ht="7.5" hidden="false" customHeight="true" outlineLevel="0" collapsed="false"/>
    <row r="5" customFormat="false" ht="36" hidden="false" customHeight="true" outlineLevel="0" collapsed="false">
      <c r="A5" s="36"/>
      <c r="B5" s="37" t="s">
        <v>81</v>
      </c>
      <c r="C5" s="37" t="s">
        <v>82</v>
      </c>
      <c r="D5" s="37" t="s">
        <v>83</v>
      </c>
      <c r="E5" s="37" t="s">
        <v>84</v>
      </c>
      <c r="F5" s="37" t="s">
        <v>85</v>
      </c>
      <c r="G5" s="37" t="s">
        <v>86</v>
      </c>
      <c r="H5" s="37" t="s">
        <v>87</v>
      </c>
      <c r="I5" s="37" t="s">
        <v>88</v>
      </c>
    </row>
    <row r="6" customFormat="false" ht="19.5" hidden="false" customHeight="true" outlineLevel="0" collapsed="false">
      <c r="A6" s="38"/>
      <c r="B6" s="39" t="s">
        <v>89</v>
      </c>
      <c r="C6" s="39"/>
      <c r="D6" s="39"/>
      <c r="E6" s="39"/>
      <c r="F6" s="39"/>
      <c r="G6" s="39"/>
      <c r="H6" s="39"/>
      <c r="I6" s="39"/>
    </row>
    <row r="7" customFormat="false" ht="18" hidden="false" customHeight="true" outlineLevel="0" collapsed="false">
      <c r="A7" s="38"/>
      <c r="B7" s="40" t="s">
        <v>90</v>
      </c>
      <c r="C7" s="41" t="s">
        <v>21</v>
      </c>
      <c r="D7" s="42" t="n">
        <v>20</v>
      </c>
      <c r="E7" s="42" t="n">
        <v>27</v>
      </c>
      <c r="F7" s="42" t="n">
        <v>35</v>
      </c>
      <c r="G7" s="42" t="n">
        <f aca="false">(D7+4*E7+F7)/6</f>
        <v>27.1666666666667</v>
      </c>
      <c r="H7" s="43" t="n">
        <f aca="false">G7*$E$3</f>
        <v>679.166666666667</v>
      </c>
      <c r="I7" s="40" t="s">
        <v>91</v>
      </c>
    </row>
    <row r="8" customFormat="false" ht="18" hidden="false" customHeight="true" outlineLevel="0" collapsed="false">
      <c r="A8" s="38"/>
      <c r="B8" s="40" t="s">
        <v>92</v>
      </c>
      <c r="C8" s="41" t="s">
        <v>21</v>
      </c>
      <c r="D8" s="42" t="n">
        <v>20</v>
      </c>
      <c r="E8" s="42" t="n">
        <v>30</v>
      </c>
      <c r="F8" s="42" t="n">
        <v>40</v>
      </c>
      <c r="G8" s="42" t="n">
        <f aca="false">(D8+4*E8+F8)/6</f>
        <v>30</v>
      </c>
      <c r="H8" s="43" t="n">
        <f aca="false">G8*$E$3</f>
        <v>750</v>
      </c>
      <c r="I8" s="40" t="s">
        <v>93</v>
      </c>
    </row>
    <row r="9" customFormat="false" ht="18" hidden="false" customHeight="true" outlineLevel="0" collapsed="false">
      <c r="A9" s="38"/>
      <c r="B9" s="40" t="s">
        <v>94</v>
      </c>
      <c r="C9" s="41" t="s">
        <v>21</v>
      </c>
      <c r="D9" s="42" t="n">
        <v>20</v>
      </c>
      <c r="E9" s="42" t="n">
        <v>25</v>
      </c>
      <c r="F9" s="42" t="n">
        <v>30</v>
      </c>
      <c r="G9" s="42" t="n">
        <f aca="false">(D9+4*E9+F9)/6</f>
        <v>25</v>
      </c>
      <c r="H9" s="43" t="n">
        <f aca="false">G9*$E$3</f>
        <v>625</v>
      </c>
      <c r="I9" s="40" t="s">
        <v>95</v>
      </c>
    </row>
    <row r="10" customFormat="false" ht="18" hidden="false" customHeight="true" outlineLevel="0" collapsed="false">
      <c r="A10" s="38"/>
      <c r="B10" s="40" t="s">
        <v>96</v>
      </c>
      <c r="C10" s="41" t="s">
        <v>21</v>
      </c>
      <c r="D10" s="42" t="n">
        <v>20</v>
      </c>
      <c r="E10" s="42" t="n">
        <v>36</v>
      </c>
      <c r="F10" s="42" t="n">
        <v>64</v>
      </c>
      <c r="G10" s="42" t="n">
        <f aca="false">(D10+4*E10+F10)/6</f>
        <v>38</v>
      </c>
      <c r="H10" s="43" t="n">
        <f aca="false">G10*$E$3</f>
        <v>950</v>
      </c>
      <c r="I10" s="40" t="s">
        <v>97</v>
      </c>
    </row>
    <row r="11" customFormat="false" ht="18" hidden="false" customHeight="true" outlineLevel="0" collapsed="false">
      <c r="A11" s="38"/>
      <c r="B11" s="40" t="s">
        <v>98</v>
      </c>
      <c r="C11" s="41" t="s">
        <v>21</v>
      </c>
      <c r="D11" s="42" t="n">
        <v>15</v>
      </c>
      <c r="E11" s="42" t="n">
        <v>20</v>
      </c>
      <c r="F11" s="42" t="n">
        <v>30</v>
      </c>
      <c r="G11" s="42" t="n">
        <f aca="false">(D11+4*E11+F11)/6</f>
        <v>20.8333333333333</v>
      </c>
      <c r="H11" s="43" t="n">
        <f aca="false">G11*$E$3</f>
        <v>520.833333333333</v>
      </c>
      <c r="I11" s="40" t="s">
        <v>99</v>
      </c>
    </row>
    <row r="12" customFormat="false" ht="18" hidden="false" customHeight="true" outlineLevel="0" collapsed="false">
      <c r="A12" s="38"/>
      <c r="B12" s="40" t="s">
        <v>100</v>
      </c>
      <c r="C12" s="41" t="s">
        <v>21</v>
      </c>
      <c r="D12" s="42" t="n">
        <v>50</v>
      </c>
      <c r="E12" s="42" t="n">
        <v>60</v>
      </c>
      <c r="F12" s="42" t="n">
        <v>75</v>
      </c>
      <c r="G12" s="42" t="n">
        <f aca="false">(D12+4*E12+F12)/6</f>
        <v>60.8333333333333</v>
      </c>
      <c r="H12" s="43" t="n">
        <f aca="false">G12*$E$3</f>
        <v>1520.83333333333</v>
      </c>
      <c r="I12" s="40" t="s">
        <v>101</v>
      </c>
    </row>
    <row r="13" customFormat="false" ht="18" hidden="false" customHeight="true" outlineLevel="0" collapsed="false">
      <c r="A13" s="38"/>
      <c r="B13" s="40" t="s">
        <v>102</v>
      </c>
      <c r="C13" s="41" t="s">
        <v>21</v>
      </c>
      <c r="D13" s="42" t="n">
        <v>5</v>
      </c>
      <c r="E13" s="42" t="n">
        <v>25</v>
      </c>
      <c r="F13" s="42" t="n">
        <v>50</v>
      </c>
      <c r="G13" s="42" t="n">
        <f aca="false">(D13+4*E13+F13)/6</f>
        <v>25.8333333333333</v>
      </c>
      <c r="H13" s="43" t="n">
        <f aca="false">G13*$E$3</f>
        <v>645.833333333333</v>
      </c>
      <c r="I13" s="40" t="s">
        <v>103</v>
      </c>
    </row>
    <row r="14" customFormat="false" ht="18" hidden="false" customHeight="true" outlineLevel="0" collapsed="false">
      <c r="A14" s="38"/>
      <c r="B14" s="40" t="s">
        <v>104</v>
      </c>
      <c r="C14" s="41" t="s">
        <v>21</v>
      </c>
      <c r="D14" s="42" t="n">
        <v>16</v>
      </c>
      <c r="E14" s="42" t="n">
        <v>28</v>
      </c>
      <c r="F14" s="42" t="n">
        <v>48</v>
      </c>
      <c r="G14" s="42" t="n">
        <f aca="false">(D14+4*E14+F14)/6</f>
        <v>29.3333333333333</v>
      </c>
      <c r="H14" s="43" t="n">
        <f aca="false">G14*$E$3</f>
        <v>733.333333333333</v>
      </c>
      <c r="I14" s="40" t="s">
        <v>105</v>
      </c>
    </row>
    <row r="15" customFormat="false" ht="18" hidden="false" customHeight="true" outlineLevel="0" collapsed="false">
      <c r="A15" s="38"/>
      <c r="B15" s="40" t="s">
        <v>106</v>
      </c>
      <c r="C15" s="41" t="s">
        <v>21</v>
      </c>
      <c r="D15" s="42" t="n">
        <v>6</v>
      </c>
      <c r="E15" s="42" t="n">
        <v>10</v>
      </c>
      <c r="F15" s="42" t="n">
        <v>16</v>
      </c>
      <c r="G15" s="42" t="n">
        <f aca="false">(D15+4*E15+F15)/6</f>
        <v>10.3333333333333</v>
      </c>
      <c r="H15" s="43" t="n">
        <f aca="false">G15*$E$3</f>
        <v>258.333333333333</v>
      </c>
      <c r="I15" s="40" t="s">
        <v>107</v>
      </c>
    </row>
    <row r="16" customFormat="false" ht="18" hidden="false" customHeight="true" outlineLevel="0" collapsed="false">
      <c r="A16" s="38"/>
      <c r="B16" s="40" t="s">
        <v>108</v>
      </c>
      <c r="C16" s="41" t="s">
        <v>21</v>
      </c>
      <c r="D16" s="42" t="n">
        <v>12</v>
      </c>
      <c r="E16" s="42" t="n">
        <v>20</v>
      </c>
      <c r="F16" s="42" t="n">
        <v>36</v>
      </c>
      <c r="G16" s="42" t="n">
        <f aca="false">(D16+4*E16+F16)/6</f>
        <v>21.3333333333333</v>
      </c>
      <c r="H16" s="43" t="n">
        <f aca="false">G16*$E$3</f>
        <v>533.333333333333</v>
      </c>
      <c r="I16" s="40" t="s">
        <v>109</v>
      </c>
    </row>
    <row r="17" customFormat="false" ht="18" hidden="false" customHeight="true" outlineLevel="0" collapsed="false">
      <c r="A17" s="38"/>
      <c r="B17" s="40" t="s">
        <v>110</v>
      </c>
      <c r="C17" s="41" t="s">
        <v>21</v>
      </c>
      <c r="D17" s="42" t="n">
        <v>4</v>
      </c>
      <c r="E17" s="42" t="n">
        <v>8</v>
      </c>
      <c r="F17" s="42" t="n">
        <v>12</v>
      </c>
      <c r="G17" s="42" t="n">
        <f aca="false">(D17+4*E17+F17)/6</f>
        <v>8</v>
      </c>
      <c r="H17" s="43" t="n">
        <f aca="false">G17*$E$3</f>
        <v>200</v>
      </c>
      <c r="I17" s="40" t="s">
        <v>111</v>
      </c>
    </row>
    <row r="18" customFormat="false" ht="19.5" hidden="false" customHeight="true" outlineLevel="0" collapsed="false">
      <c r="A18" s="38"/>
      <c r="B18" s="39" t="s">
        <v>112</v>
      </c>
      <c r="C18" s="39"/>
      <c r="D18" s="39"/>
      <c r="E18" s="39"/>
      <c r="F18" s="39"/>
      <c r="G18" s="39"/>
      <c r="H18" s="39"/>
      <c r="I18" s="39"/>
    </row>
    <row r="19" customFormat="false" ht="18" hidden="false" customHeight="true" outlineLevel="0" collapsed="false">
      <c r="A19" s="38"/>
      <c r="B19" s="40" t="s">
        <v>113</v>
      </c>
      <c r="C19" s="41" t="s">
        <v>21</v>
      </c>
      <c r="D19" s="42" t="n">
        <v>3</v>
      </c>
      <c r="E19" s="42" t="n">
        <v>6</v>
      </c>
      <c r="F19" s="42" t="n">
        <v>12</v>
      </c>
      <c r="G19" s="42" t="n">
        <f aca="false">(D19+4*E19+F19)/6</f>
        <v>6.5</v>
      </c>
      <c r="H19" s="43" t="n">
        <f aca="false">G19*$E$3</f>
        <v>162.5</v>
      </c>
      <c r="I19" s="40" t="s">
        <v>114</v>
      </c>
    </row>
    <row r="20" customFormat="false" ht="18" hidden="false" customHeight="true" outlineLevel="0" collapsed="false">
      <c r="A20" s="38"/>
      <c r="B20" s="40" t="s">
        <v>115</v>
      </c>
      <c r="C20" s="41" t="s">
        <v>21</v>
      </c>
      <c r="D20" s="42" t="n">
        <v>40</v>
      </c>
      <c r="E20" s="42" t="n">
        <v>80</v>
      </c>
      <c r="F20" s="42" t="n">
        <v>120</v>
      </c>
      <c r="G20" s="42" t="n">
        <f aca="false">(D20+4*E20+F20)/6</f>
        <v>80</v>
      </c>
      <c r="H20" s="43" t="n">
        <f aca="false">G20*$E$3</f>
        <v>2000</v>
      </c>
      <c r="I20" s="40" t="s">
        <v>116</v>
      </c>
    </row>
    <row r="21" customFormat="false" ht="18" hidden="false" customHeight="true" outlineLevel="0" collapsed="false">
      <c r="A21" s="38"/>
      <c r="B21" s="40" t="s">
        <v>117</v>
      </c>
      <c r="C21" s="41" t="s">
        <v>21</v>
      </c>
      <c r="D21" s="42" t="n">
        <v>24</v>
      </c>
      <c r="E21" s="42" t="n">
        <v>40</v>
      </c>
      <c r="F21" s="42" t="n">
        <v>64</v>
      </c>
      <c r="G21" s="42" t="n">
        <f aca="false">(D21+4*E21+F21)/6</f>
        <v>41.3333333333333</v>
      </c>
      <c r="H21" s="43" t="n">
        <f aca="false">G21*$E$3</f>
        <v>1033.33333333333</v>
      </c>
      <c r="I21" s="40" t="s">
        <v>118</v>
      </c>
    </row>
    <row r="22" customFormat="false" ht="18" hidden="false" customHeight="true" outlineLevel="0" collapsed="false">
      <c r="A22" s="38"/>
      <c r="B22" s="40" t="s">
        <v>119</v>
      </c>
      <c r="C22" s="41" t="s">
        <v>21</v>
      </c>
      <c r="D22" s="42" t="n">
        <v>6</v>
      </c>
      <c r="E22" s="42" t="n">
        <v>12</v>
      </c>
      <c r="F22" s="42" t="n">
        <v>20</v>
      </c>
      <c r="G22" s="42" t="n">
        <f aca="false">(D22+4*E22+F22)/6</f>
        <v>12.3333333333333</v>
      </c>
      <c r="H22" s="43" t="n">
        <f aca="false">G22*$E$3</f>
        <v>308.333333333333</v>
      </c>
      <c r="I22" s="40" t="s">
        <v>120</v>
      </c>
    </row>
    <row r="23" customFormat="false" ht="18" hidden="false" customHeight="true" outlineLevel="0" collapsed="false">
      <c r="A23" s="38"/>
      <c r="B23" s="40" t="s">
        <v>121</v>
      </c>
      <c r="C23" s="41" t="s">
        <v>21</v>
      </c>
      <c r="D23" s="42" t="n">
        <v>30</v>
      </c>
      <c r="E23" s="42" t="n">
        <v>52</v>
      </c>
      <c r="F23" s="42" t="n">
        <v>88</v>
      </c>
      <c r="G23" s="42" t="n">
        <f aca="false">(D23+4*E23+F23)/6</f>
        <v>54.3333333333333</v>
      </c>
      <c r="H23" s="43" t="n">
        <f aca="false">G23*$E$3</f>
        <v>1358.33333333333</v>
      </c>
      <c r="I23" s="40" t="s">
        <v>122</v>
      </c>
    </row>
    <row r="24" customFormat="false" ht="18" hidden="false" customHeight="true" outlineLevel="0" collapsed="false">
      <c r="A24" s="38"/>
      <c r="B24" s="40" t="s">
        <v>123</v>
      </c>
      <c r="C24" s="41" t="s">
        <v>21</v>
      </c>
      <c r="D24" s="42" t="n">
        <v>16</v>
      </c>
      <c r="E24" s="42" t="n">
        <v>28</v>
      </c>
      <c r="F24" s="42" t="n">
        <v>48</v>
      </c>
      <c r="G24" s="42" t="n">
        <f aca="false">(D24+4*E24+F24)/6</f>
        <v>29.3333333333333</v>
      </c>
      <c r="H24" s="43" t="n">
        <f aca="false">G24*$E$3</f>
        <v>733.333333333333</v>
      </c>
      <c r="I24" s="40" t="s">
        <v>124</v>
      </c>
    </row>
    <row r="25" customFormat="false" ht="18" hidden="false" customHeight="true" outlineLevel="0" collapsed="false">
      <c r="A25" s="38"/>
      <c r="B25" s="40" t="s">
        <v>125</v>
      </c>
      <c r="C25" s="41" t="s">
        <v>21</v>
      </c>
      <c r="D25" s="42" t="n">
        <v>6</v>
      </c>
      <c r="E25" s="42" t="n">
        <v>10</v>
      </c>
      <c r="F25" s="42" t="n">
        <v>16</v>
      </c>
      <c r="G25" s="42" t="n">
        <f aca="false">(D25+4*E25+F25)/6</f>
        <v>10.3333333333333</v>
      </c>
      <c r="H25" s="43" t="n">
        <f aca="false">G25*$E$3</f>
        <v>258.333333333333</v>
      </c>
      <c r="I25" s="40" t="s">
        <v>126</v>
      </c>
    </row>
    <row r="26" customFormat="false" ht="18" hidden="false" customHeight="true" outlineLevel="0" collapsed="false">
      <c r="A26" s="38"/>
      <c r="B26" s="40" t="s">
        <v>127</v>
      </c>
      <c r="C26" s="41" t="s">
        <v>21</v>
      </c>
      <c r="D26" s="42" t="n">
        <v>7</v>
      </c>
      <c r="E26" s="42" t="n">
        <v>13</v>
      </c>
      <c r="F26" s="42" t="n">
        <v>21</v>
      </c>
      <c r="G26" s="42" t="n">
        <f aca="false">(D26+4*E26+F26)/6</f>
        <v>13.3333333333333</v>
      </c>
      <c r="H26" s="43" t="n">
        <f aca="false">G26*$E$3</f>
        <v>333.333333333333</v>
      </c>
      <c r="I26" s="40" t="s">
        <v>128</v>
      </c>
    </row>
    <row r="27" customFormat="false" ht="18" hidden="false" customHeight="true" outlineLevel="0" collapsed="false">
      <c r="A27" s="38"/>
      <c r="B27" s="40" t="s">
        <v>129</v>
      </c>
      <c r="C27" s="41" t="s">
        <v>21</v>
      </c>
      <c r="D27" s="42" t="n">
        <v>12</v>
      </c>
      <c r="E27" s="42" t="n">
        <v>22</v>
      </c>
      <c r="F27" s="42" t="n">
        <v>36</v>
      </c>
      <c r="G27" s="42" t="n">
        <f aca="false">(D27+4*E27+F27)/6</f>
        <v>22.6666666666667</v>
      </c>
      <c r="H27" s="43" t="n">
        <f aca="false">G27*$E$3</f>
        <v>566.666666666667</v>
      </c>
      <c r="I27" s="40" t="s">
        <v>130</v>
      </c>
    </row>
    <row r="28" customFormat="false" ht="19.5" hidden="false" customHeight="true" outlineLevel="0" collapsed="false">
      <c r="A28" s="38"/>
      <c r="B28" s="44" t="s">
        <v>131</v>
      </c>
      <c r="C28" s="44"/>
      <c r="D28" s="44"/>
      <c r="E28" s="44"/>
      <c r="F28" s="44"/>
      <c r="G28" s="45" t="n">
        <f aca="false">SUMPRODUCT((ISNUMBER(G7:G27))*G7:G27)</f>
        <v>566.833333333333</v>
      </c>
      <c r="H28" s="45" t="n">
        <f aca="false">SUMPRODUCT((ISNUMBER(H7:H27))*H7:H27)</f>
        <v>14170.8333333333</v>
      </c>
      <c r="I28" s="45"/>
    </row>
    <row r="29" customFormat="false" ht="14.25" hidden="false" customHeight="false" outlineLevel="0" collapsed="false">
      <c r="A29" s="38"/>
      <c r="B29" s="38"/>
      <c r="C29" s="38"/>
      <c r="D29" s="38"/>
      <c r="E29" s="38"/>
      <c r="F29" s="38"/>
      <c r="G29" s="38"/>
      <c r="H29" s="38"/>
      <c r="I29" s="38"/>
    </row>
    <row r="30" customFormat="false" ht="14.25" hidden="false" customHeight="false" outlineLevel="0" collapsed="false">
      <c r="A30" s="38"/>
      <c r="B30" s="38"/>
      <c r="C30" s="38"/>
      <c r="D30" s="38"/>
      <c r="E30" s="38"/>
      <c r="F30" s="38"/>
      <c r="G30" s="38"/>
      <c r="H30" s="38"/>
      <c r="I30" s="38"/>
    </row>
  </sheetData>
  <mergeCells count="7">
    <mergeCell ref="B1:I1"/>
    <mergeCell ref="B2:I2"/>
    <mergeCell ref="B3:D3"/>
    <mergeCell ref="F3:I3"/>
    <mergeCell ref="B6:I6"/>
    <mergeCell ref="B18:I18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1:G189"/>
  <sheetViews>
    <sheetView showFormulas="false" showGridLines="false" showRowColHeaders="true" showZeros="true" rightToLeft="false" tabSelected="false" showOutlineSymbols="true" defaultGridColor="true" view="normal" topLeftCell="B49" colorId="64" zoomScale="100" zoomScaleNormal="100" zoomScalePageLayoutView="100" workbookViewId="0">
      <selection pane="topLeft" activeCell="G39" activeCellId="0" sqref="G39"/>
    </sheetView>
  </sheetViews>
  <sheetFormatPr defaultColWidth="8.66796875" defaultRowHeight="14.25" zeroHeight="false" outlineLevelRow="0" outlineLevelCol="0"/>
  <cols>
    <col collapsed="false" customWidth="true" hidden="true" outlineLevel="0" max="1" min="1" style="0" width="2"/>
    <col collapsed="false" customWidth="true" hidden="false" outlineLevel="0" max="2" min="2" style="0" width="41.44"/>
    <col collapsed="false" customWidth="true" hidden="false" outlineLevel="0" max="3" min="3" style="0" width="8.44"/>
    <col collapsed="false" customWidth="true" hidden="false" outlineLevel="0" max="4" min="4" style="0" width="7.3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94.77"/>
  </cols>
  <sheetData>
    <row r="1" customFormat="false" ht="21.75" hidden="false" customHeight="true" outlineLevel="0" collapsed="false">
      <c r="B1" s="46" t="s">
        <v>132</v>
      </c>
      <c r="C1" s="46"/>
      <c r="D1" s="46"/>
      <c r="E1" s="46"/>
      <c r="F1" s="46"/>
      <c r="G1" s="46"/>
    </row>
    <row r="2" customFormat="false" ht="14.25" hidden="false" customHeight="true" outlineLevel="0" collapsed="false">
      <c r="B2" s="11" t="s">
        <v>133</v>
      </c>
      <c r="C2" s="11"/>
      <c r="D2" s="11"/>
      <c r="E2" s="11"/>
      <c r="F2" s="11"/>
      <c r="G2" s="11"/>
    </row>
    <row r="3" customFormat="false" ht="21.75" hidden="false" customHeight="true" outlineLevel="0" collapsed="false"/>
    <row r="4" customFormat="false" ht="18" hidden="false" customHeight="true" outlineLevel="0" collapsed="false">
      <c r="B4" s="3" t="s">
        <v>134</v>
      </c>
      <c r="C4" s="3"/>
      <c r="D4" s="3"/>
      <c r="E4" s="3"/>
      <c r="F4" s="3"/>
      <c r="G4" s="3"/>
    </row>
    <row r="5" customFormat="false" ht="15.75" hidden="false" customHeight="true" outlineLevel="0" collapsed="false">
      <c r="B5" s="4" t="s">
        <v>135</v>
      </c>
      <c r="C5" s="4" t="s">
        <v>136</v>
      </c>
      <c r="D5" s="4" t="s">
        <v>137</v>
      </c>
      <c r="E5" s="4" t="s">
        <v>138</v>
      </c>
      <c r="F5" s="4" t="s">
        <v>139</v>
      </c>
      <c r="G5" s="4" t="s">
        <v>140</v>
      </c>
    </row>
    <row r="6" customFormat="false" ht="15" hidden="false" customHeight="true" outlineLevel="0" collapsed="false">
      <c r="B6" s="5" t="s">
        <v>141</v>
      </c>
      <c r="C6" s="47" t="n">
        <v>16</v>
      </c>
      <c r="D6" s="13" t="s">
        <v>142</v>
      </c>
      <c r="E6" s="17" t="n">
        <v>40</v>
      </c>
      <c r="F6" s="7" t="n">
        <f aca="false">C6*E6</f>
        <v>640</v>
      </c>
      <c r="G6" s="14" t="s">
        <v>143</v>
      </c>
    </row>
    <row r="7" customFormat="false" ht="15" hidden="false" customHeight="true" outlineLevel="0" collapsed="false">
      <c r="B7" s="48" t="s">
        <v>144</v>
      </c>
      <c r="C7" s="47" t="n">
        <v>1</v>
      </c>
      <c r="D7" s="49" t="s">
        <v>145</v>
      </c>
      <c r="E7" s="17" t="n">
        <v>48</v>
      </c>
      <c r="F7" s="7" t="n">
        <f aca="false">C7*E7</f>
        <v>48</v>
      </c>
      <c r="G7" s="50" t="s">
        <v>146</v>
      </c>
    </row>
    <row r="8" customFormat="false" ht="15" hidden="false" customHeight="true" outlineLevel="0" collapsed="false">
      <c r="B8" s="5" t="s">
        <v>147</v>
      </c>
      <c r="C8" s="47" t="n">
        <v>28</v>
      </c>
      <c r="D8" s="13" t="s">
        <v>142</v>
      </c>
      <c r="E8" s="17" t="n">
        <v>24</v>
      </c>
      <c r="F8" s="7" t="n">
        <f aca="false">C8*E8</f>
        <v>672</v>
      </c>
      <c r="G8" s="14" t="s">
        <v>148</v>
      </c>
    </row>
    <row r="9" customFormat="false" ht="15.75" hidden="false" customHeight="true" outlineLevel="0" collapsed="false">
      <c r="B9" s="51" t="s">
        <v>149</v>
      </c>
      <c r="C9" s="51"/>
      <c r="D9" s="51"/>
      <c r="E9" s="51"/>
      <c r="F9" s="16" t="n">
        <f aca="false">SUM(F6:F8)</f>
        <v>1360</v>
      </c>
    </row>
    <row r="10" customFormat="false" ht="18" hidden="false" customHeight="true" outlineLevel="0" collapsed="false"/>
    <row r="11" customFormat="false" ht="18" hidden="false" customHeight="true" outlineLevel="0" collapsed="false">
      <c r="B11" s="3" t="s">
        <v>150</v>
      </c>
      <c r="C11" s="3"/>
      <c r="D11" s="3"/>
      <c r="E11" s="3"/>
      <c r="F11" s="3"/>
      <c r="G11" s="3"/>
    </row>
    <row r="12" customFormat="false" ht="15.75" hidden="false" customHeight="true" outlineLevel="0" collapsed="false">
      <c r="B12" s="4" t="s">
        <v>135</v>
      </c>
      <c r="C12" s="4" t="s">
        <v>136</v>
      </c>
      <c r="D12" s="4" t="s">
        <v>137</v>
      </c>
      <c r="E12" s="4" t="s">
        <v>138</v>
      </c>
      <c r="F12" s="4" t="s">
        <v>139</v>
      </c>
      <c r="G12" s="4" t="s">
        <v>140</v>
      </c>
    </row>
    <row r="13" customFormat="false" ht="15" hidden="false" customHeight="true" outlineLevel="0" collapsed="false">
      <c r="B13" s="5" t="s">
        <v>151</v>
      </c>
      <c r="C13" s="47" t="n">
        <v>15</v>
      </c>
      <c r="D13" s="13" t="s">
        <v>142</v>
      </c>
      <c r="E13" s="17" t="n">
        <v>27</v>
      </c>
      <c r="F13" s="7" t="n">
        <f aca="false">C13*E13</f>
        <v>405</v>
      </c>
      <c r="G13" s="14" t="s">
        <v>152</v>
      </c>
    </row>
    <row r="14" customFormat="false" ht="15" hidden="false" customHeight="true" outlineLevel="0" collapsed="false">
      <c r="B14" s="48" t="s">
        <v>144</v>
      </c>
      <c r="C14" s="47" t="n">
        <v>1</v>
      </c>
      <c r="D14" s="49" t="s">
        <v>145</v>
      </c>
      <c r="E14" s="17" t="n">
        <v>48</v>
      </c>
      <c r="F14" s="7" t="n">
        <f aca="false">C14*E14</f>
        <v>48</v>
      </c>
      <c r="G14" s="50" t="s">
        <v>146</v>
      </c>
    </row>
    <row r="15" customFormat="false" ht="15" hidden="false" customHeight="true" outlineLevel="0" collapsed="false">
      <c r="B15" s="5" t="s">
        <v>153</v>
      </c>
      <c r="C15" s="47" t="n">
        <v>3</v>
      </c>
      <c r="D15" s="13" t="s">
        <v>154</v>
      </c>
      <c r="E15" s="17" t="n">
        <v>20</v>
      </c>
      <c r="F15" s="7" t="n">
        <f aca="false">C15*E15</f>
        <v>60</v>
      </c>
      <c r="G15" s="14" t="s">
        <v>155</v>
      </c>
    </row>
    <row r="16" customFormat="false" ht="15.75" hidden="false" customHeight="true" outlineLevel="0" collapsed="false">
      <c r="B16" s="51" t="s">
        <v>149</v>
      </c>
      <c r="C16" s="51"/>
      <c r="D16" s="51"/>
      <c r="E16" s="51"/>
      <c r="F16" s="16" t="n">
        <f aca="false">SUM(F13:F15)</f>
        <v>513</v>
      </c>
    </row>
    <row r="17" customFormat="false" ht="18" hidden="false" customHeight="true" outlineLevel="0" collapsed="false"/>
    <row r="18" customFormat="false" ht="18" hidden="false" customHeight="true" outlineLevel="0" collapsed="false">
      <c r="B18" s="3" t="s">
        <v>156</v>
      </c>
      <c r="C18" s="3"/>
      <c r="D18" s="3"/>
      <c r="E18" s="3"/>
      <c r="F18" s="3"/>
      <c r="G18" s="3"/>
    </row>
    <row r="19" customFormat="false" ht="15.75" hidden="false" customHeight="true" outlineLevel="0" collapsed="false">
      <c r="B19" s="4" t="s">
        <v>135</v>
      </c>
      <c r="C19" s="4" t="s">
        <v>136</v>
      </c>
      <c r="D19" s="4" t="s">
        <v>137</v>
      </c>
      <c r="E19" s="4" t="s">
        <v>138</v>
      </c>
      <c r="F19" s="4" t="s">
        <v>139</v>
      </c>
      <c r="G19" s="4" t="s">
        <v>140</v>
      </c>
    </row>
    <row r="20" customFormat="false" ht="15" hidden="false" customHeight="true" outlineLevel="0" collapsed="false">
      <c r="B20" s="48" t="s">
        <v>157</v>
      </c>
      <c r="C20" s="47" t="n">
        <v>1</v>
      </c>
      <c r="D20" s="13" t="s">
        <v>142</v>
      </c>
      <c r="E20" s="17" t="n">
        <v>35</v>
      </c>
      <c r="F20" s="7" t="n">
        <f aca="false">C20*E20</f>
        <v>35</v>
      </c>
      <c r="G20" s="50" t="s">
        <v>158</v>
      </c>
    </row>
    <row r="21" customFormat="false" ht="15" hidden="false" customHeight="true" outlineLevel="0" collapsed="false">
      <c r="B21" s="48" t="s">
        <v>159</v>
      </c>
      <c r="C21" s="47" t="n">
        <v>1</v>
      </c>
      <c r="D21" s="13" t="s">
        <v>142</v>
      </c>
      <c r="E21" s="17" t="n">
        <v>22</v>
      </c>
      <c r="F21" s="7" t="n">
        <f aca="false">C21*E21</f>
        <v>22</v>
      </c>
      <c r="G21" s="50" t="s">
        <v>160</v>
      </c>
    </row>
    <row r="22" customFormat="false" ht="15" hidden="false" customHeight="true" outlineLevel="0" collapsed="false">
      <c r="B22" s="48" t="s">
        <v>161</v>
      </c>
      <c r="C22" s="47" t="n">
        <v>2</v>
      </c>
      <c r="D22" s="13" t="s">
        <v>142</v>
      </c>
      <c r="E22" s="17" t="n">
        <v>9.5</v>
      </c>
      <c r="F22" s="7" t="n">
        <f aca="false">C22*E22</f>
        <v>19</v>
      </c>
      <c r="G22" s="50" t="s">
        <v>162</v>
      </c>
    </row>
    <row r="23" customFormat="false" ht="15" hidden="false" customHeight="true" outlineLevel="0" collapsed="false">
      <c r="B23" s="48" t="s">
        <v>163</v>
      </c>
      <c r="C23" s="47" t="n">
        <v>1</v>
      </c>
      <c r="D23" s="13" t="s">
        <v>145</v>
      </c>
      <c r="E23" s="17" t="n">
        <v>4</v>
      </c>
      <c r="F23" s="7" t="n">
        <f aca="false">C23*E23</f>
        <v>4</v>
      </c>
      <c r="G23" s="50" t="s">
        <v>164</v>
      </c>
    </row>
    <row r="24" customFormat="false" ht="15.75" hidden="false" customHeight="true" outlineLevel="0" collapsed="false">
      <c r="B24" s="51" t="s">
        <v>149</v>
      </c>
      <c r="C24" s="51"/>
      <c r="D24" s="51"/>
      <c r="E24" s="51"/>
      <c r="F24" s="16" t="n">
        <f aca="false">SUM(F20:F23)</f>
        <v>80</v>
      </c>
    </row>
    <row r="25" customFormat="false" ht="21.75" hidden="false" customHeight="true" outlineLevel="0" collapsed="false"/>
    <row r="26" customFormat="false" ht="18" hidden="false" customHeight="true" outlineLevel="0" collapsed="false">
      <c r="B26" s="3" t="s">
        <v>165</v>
      </c>
      <c r="C26" s="3"/>
      <c r="D26" s="3"/>
      <c r="E26" s="3"/>
      <c r="F26" s="3"/>
      <c r="G26" s="3"/>
    </row>
    <row r="27" customFormat="false" ht="15.75" hidden="false" customHeight="true" outlineLevel="0" collapsed="false"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139</v>
      </c>
      <c r="G27" s="4" t="s">
        <v>140</v>
      </c>
    </row>
    <row r="28" customFormat="false" ht="15" hidden="false" customHeight="true" outlineLevel="0" collapsed="false">
      <c r="B28" s="48" t="s">
        <v>166</v>
      </c>
      <c r="C28" s="47" t="n">
        <v>6</v>
      </c>
      <c r="D28" s="13" t="s">
        <v>167</v>
      </c>
      <c r="E28" s="17" t="n">
        <v>75</v>
      </c>
      <c r="F28" s="7" t="n">
        <f aca="false">C28*E28</f>
        <v>450</v>
      </c>
      <c r="G28" s="50" t="s">
        <v>168</v>
      </c>
    </row>
    <row r="29" customFormat="false" ht="15.75" hidden="false" customHeight="true" outlineLevel="0" collapsed="false">
      <c r="B29" s="51" t="s">
        <v>149</v>
      </c>
      <c r="C29" s="51"/>
      <c r="D29" s="51"/>
      <c r="E29" s="51"/>
      <c r="F29" s="16" t="n">
        <f aca="false">SUM(F28:F28)</f>
        <v>450</v>
      </c>
    </row>
    <row r="30" customFormat="false" ht="14.25" hidden="false" customHeight="true" outlineLevel="0" collapsed="false"/>
    <row r="31" customFormat="false" ht="18" hidden="false" customHeight="true" outlineLevel="0" collapsed="false">
      <c r="B31" s="3" t="s">
        <v>169</v>
      </c>
      <c r="C31" s="3"/>
      <c r="D31" s="3"/>
      <c r="E31" s="3"/>
      <c r="F31" s="3"/>
      <c r="G31" s="3"/>
    </row>
    <row r="32" customFormat="false" ht="15.75" hidden="false" customHeight="true" outlineLevel="0" collapsed="false">
      <c r="B32" s="4" t="s">
        <v>135</v>
      </c>
      <c r="C32" s="4" t="s">
        <v>136</v>
      </c>
      <c r="D32" s="4" t="s">
        <v>137</v>
      </c>
      <c r="E32" s="4" t="s">
        <v>138</v>
      </c>
      <c r="F32" s="4" t="s">
        <v>139</v>
      </c>
      <c r="G32" s="4" t="s">
        <v>140</v>
      </c>
    </row>
    <row r="33" customFormat="false" ht="15" hidden="false" customHeight="true" outlineLevel="0" collapsed="false">
      <c r="B33" s="48" t="s">
        <v>170</v>
      </c>
      <c r="C33" s="47" t="n">
        <v>5</v>
      </c>
      <c r="D33" s="13" t="s">
        <v>142</v>
      </c>
      <c r="E33" s="17" t="n">
        <v>16</v>
      </c>
      <c r="F33" s="7" t="n">
        <f aca="false">C33*E33</f>
        <v>80</v>
      </c>
      <c r="G33" s="50" t="s">
        <v>171</v>
      </c>
    </row>
    <row r="34" customFormat="false" ht="15" hidden="false" customHeight="true" outlineLevel="0" collapsed="false">
      <c r="B34" s="48" t="s">
        <v>172</v>
      </c>
      <c r="C34" s="47" t="n">
        <v>4</v>
      </c>
      <c r="D34" s="13" t="s">
        <v>142</v>
      </c>
      <c r="E34" s="17" t="n">
        <v>11</v>
      </c>
      <c r="F34" s="7" t="n">
        <f aca="false">C34*E34</f>
        <v>44</v>
      </c>
      <c r="G34" s="50"/>
    </row>
    <row r="35" customFormat="false" ht="15" hidden="false" customHeight="true" outlineLevel="0" collapsed="false">
      <c r="B35" s="48" t="s">
        <v>173</v>
      </c>
      <c r="C35" s="47" t="n">
        <v>7</v>
      </c>
      <c r="D35" s="13" t="s">
        <v>167</v>
      </c>
      <c r="E35" s="17" t="n">
        <v>8.8</v>
      </c>
      <c r="F35" s="7" t="n">
        <f aca="false">C35*E35</f>
        <v>61.6</v>
      </c>
      <c r="G35" s="50" t="s">
        <v>174</v>
      </c>
    </row>
    <row r="36" customFormat="false" ht="15" hidden="false" customHeight="true" outlineLevel="0" collapsed="false">
      <c r="B36" s="48" t="s">
        <v>175</v>
      </c>
      <c r="C36" s="47" t="n">
        <v>4</v>
      </c>
      <c r="D36" s="13" t="s">
        <v>142</v>
      </c>
      <c r="E36" s="17" t="n">
        <v>6</v>
      </c>
      <c r="F36" s="7" t="n">
        <f aca="false">C36*E36</f>
        <v>24</v>
      </c>
      <c r="G36" s="50" t="s">
        <v>176</v>
      </c>
    </row>
    <row r="37" customFormat="false" ht="15" hidden="false" customHeight="true" outlineLevel="0" collapsed="false">
      <c r="B37" s="48" t="s">
        <v>177</v>
      </c>
      <c r="C37" s="47" t="n">
        <v>4</v>
      </c>
      <c r="D37" s="13" t="s">
        <v>142</v>
      </c>
      <c r="E37" s="17" t="n">
        <v>33</v>
      </c>
      <c r="F37" s="7" t="n">
        <f aca="false">C37*E37</f>
        <v>132</v>
      </c>
      <c r="G37" s="50" t="s">
        <v>176</v>
      </c>
    </row>
    <row r="38" customFormat="false" ht="15" hidden="false" customHeight="true" outlineLevel="0" collapsed="false">
      <c r="B38" s="48" t="s">
        <v>178</v>
      </c>
      <c r="C38" s="47" t="n">
        <v>10</v>
      </c>
      <c r="D38" s="13" t="s">
        <v>142</v>
      </c>
      <c r="E38" s="17" t="n">
        <v>18</v>
      </c>
      <c r="F38" s="7" t="n">
        <f aca="false">C38*E38</f>
        <v>180</v>
      </c>
      <c r="G38" s="50" t="s">
        <v>171</v>
      </c>
    </row>
    <row r="39" customFormat="false" ht="15.75" hidden="false" customHeight="true" outlineLevel="0" collapsed="false">
      <c r="B39" s="51" t="s">
        <v>149</v>
      </c>
      <c r="C39" s="51"/>
      <c r="D39" s="51"/>
      <c r="E39" s="51"/>
      <c r="F39" s="16" t="n">
        <f aca="false">SUM(F33:F38)</f>
        <v>521.6</v>
      </c>
    </row>
    <row r="40" customFormat="false" ht="14.25" hidden="false" customHeight="true" outlineLevel="0" collapsed="false"/>
    <row r="41" customFormat="false" ht="18" hidden="false" customHeight="true" outlineLevel="0" collapsed="false">
      <c r="B41" s="3" t="s">
        <v>179</v>
      </c>
      <c r="C41" s="3"/>
      <c r="D41" s="3"/>
      <c r="E41" s="3"/>
      <c r="F41" s="3"/>
      <c r="G41" s="3"/>
    </row>
    <row r="42" customFormat="false" ht="15.75" hidden="false" customHeight="true" outlineLevel="0" collapsed="false">
      <c r="B42" s="4" t="s">
        <v>135</v>
      </c>
      <c r="C42" s="4" t="s">
        <v>136</v>
      </c>
      <c r="D42" s="4" t="s">
        <v>137</v>
      </c>
      <c r="E42" s="4" t="s">
        <v>138</v>
      </c>
      <c r="F42" s="4" t="s">
        <v>139</v>
      </c>
      <c r="G42" s="4" t="s">
        <v>140</v>
      </c>
    </row>
    <row r="43" customFormat="false" ht="15" hidden="false" customHeight="true" outlineLevel="0" collapsed="false">
      <c r="B43" s="5" t="s">
        <v>180</v>
      </c>
      <c r="C43" s="47" t="n">
        <v>5</v>
      </c>
      <c r="D43" s="13" t="s">
        <v>142</v>
      </c>
      <c r="E43" s="17" t="n">
        <v>200</v>
      </c>
      <c r="F43" s="7" t="n">
        <f aca="false">C43*E43</f>
        <v>1000</v>
      </c>
      <c r="G43" s="50" t="s">
        <v>181</v>
      </c>
    </row>
    <row r="44" customFormat="false" ht="15" hidden="false" customHeight="true" outlineLevel="0" collapsed="false">
      <c r="B44" s="5" t="s">
        <v>182</v>
      </c>
      <c r="C44" s="47" t="n">
        <v>1</v>
      </c>
      <c r="D44" s="13" t="s">
        <v>142</v>
      </c>
      <c r="E44" s="17" t="n">
        <v>580</v>
      </c>
      <c r="F44" s="7" t="n">
        <f aca="false">C44*E44</f>
        <v>580</v>
      </c>
      <c r="G44" s="14" t="s">
        <v>183</v>
      </c>
    </row>
    <row r="45" customFormat="false" ht="15" hidden="false" customHeight="true" outlineLevel="0" collapsed="false">
      <c r="B45" s="5" t="s">
        <v>184</v>
      </c>
      <c r="C45" s="47"/>
      <c r="D45" s="13"/>
      <c r="E45" s="17"/>
      <c r="F45" s="7"/>
      <c r="G45" s="14"/>
    </row>
    <row r="46" customFormat="false" ht="15" hidden="false" customHeight="true" outlineLevel="0" collapsed="false">
      <c r="B46" s="5" t="s">
        <v>185</v>
      </c>
      <c r="C46" s="47" t="n">
        <v>2</v>
      </c>
      <c r="D46" s="13" t="s">
        <v>186</v>
      </c>
      <c r="E46" s="17" t="n">
        <v>10</v>
      </c>
      <c r="F46" s="7" t="n">
        <f aca="false">C46*E46</f>
        <v>20</v>
      </c>
      <c r="G46" s="14" t="s">
        <v>187</v>
      </c>
    </row>
    <row r="47" customFormat="false" ht="15" hidden="false" customHeight="true" outlineLevel="0" collapsed="false">
      <c r="B47" s="48" t="s">
        <v>188</v>
      </c>
      <c r="C47" s="47" t="n">
        <v>3</v>
      </c>
      <c r="D47" s="49" t="s">
        <v>154</v>
      </c>
      <c r="E47" s="17" t="n">
        <v>20</v>
      </c>
      <c r="F47" s="7" t="n">
        <f aca="false">C47*E47</f>
        <v>60</v>
      </c>
      <c r="G47" s="50" t="s">
        <v>189</v>
      </c>
    </row>
    <row r="48" customFormat="false" ht="15" hidden="false" customHeight="true" outlineLevel="0" collapsed="false">
      <c r="B48" s="48" t="s">
        <v>190</v>
      </c>
      <c r="C48" s="47" t="n">
        <v>1</v>
      </c>
      <c r="D48" s="49" t="s">
        <v>142</v>
      </c>
      <c r="E48" s="17" t="n">
        <v>160</v>
      </c>
      <c r="F48" s="7" t="n">
        <f aca="false">C48*E48</f>
        <v>160</v>
      </c>
      <c r="G48" s="50" t="s">
        <v>191</v>
      </c>
    </row>
    <row r="49" customFormat="false" ht="14.25" hidden="false" customHeight="false" outlineLevel="0" collapsed="false">
      <c r="B49" s="5" t="s">
        <v>192</v>
      </c>
      <c r="C49" s="47" t="n">
        <v>4</v>
      </c>
      <c r="D49" s="13" t="s">
        <v>193</v>
      </c>
      <c r="E49" s="17" t="n">
        <v>8</v>
      </c>
      <c r="F49" s="7" t="n">
        <f aca="false">C49*E49</f>
        <v>32</v>
      </c>
      <c r="G49" s="14" t="s">
        <v>194</v>
      </c>
    </row>
    <row r="50" customFormat="false" ht="15.75" hidden="false" customHeight="true" outlineLevel="0" collapsed="false">
      <c r="B50" s="51" t="s">
        <v>149</v>
      </c>
      <c r="C50" s="51"/>
      <c r="D50" s="51"/>
      <c r="E50" s="51"/>
      <c r="F50" s="16" t="n">
        <f aca="false">SUM(F43:F49)</f>
        <v>1852</v>
      </c>
    </row>
    <row r="51" customFormat="false" ht="18" hidden="false" customHeight="true" outlineLevel="0" collapsed="false"/>
    <row r="52" customFormat="false" ht="18" hidden="false" customHeight="true" outlineLevel="0" collapsed="false">
      <c r="B52" s="3" t="s">
        <v>195</v>
      </c>
      <c r="C52" s="3"/>
      <c r="D52" s="3"/>
      <c r="E52" s="3"/>
      <c r="F52" s="3"/>
      <c r="G52" s="3"/>
    </row>
    <row r="53" customFormat="false" ht="15.75" hidden="false" customHeight="true" outlineLevel="0" collapsed="false">
      <c r="B53" s="4" t="s">
        <v>135</v>
      </c>
      <c r="C53" s="4" t="s">
        <v>136</v>
      </c>
      <c r="D53" s="4" t="s">
        <v>137</v>
      </c>
      <c r="E53" s="4" t="s">
        <v>138</v>
      </c>
      <c r="F53" s="4" t="s">
        <v>139</v>
      </c>
      <c r="G53" s="4" t="s">
        <v>140</v>
      </c>
    </row>
    <row r="54" customFormat="false" ht="15" hidden="false" customHeight="true" outlineLevel="0" collapsed="false">
      <c r="B54" s="5" t="s">
        <v>96</v>
      </c>
      <c r="C54" s="47" t="n">
        <v>6</v>
      </c>
      <c r="D54" s="13" t="s">
        <v>196</v>
      </c>
      <c r="E54" s="17" t="n">
        <v>32</v>
      </c>
      <c r="F54" s="7" t="n">
        <f aca="false">C54*E54</f>
        <v>192</v>
      </c>
      <c r="G54" s="14" t="s">
        <v>197</v>
      </c>
    </row>
    <row r="55" customFormat="false" ht="15" hidden="false" customHeight="true" outlineLevel="0" collapsed="false">
      <c r="B55" s="5" t="s">
        <v>198</v>
      </c>
      <c r="C55" s="47" t="n">
        <v>1</v>
      </c>
      <c r="D55" s="13" t="s">
        <v>142</v>
      </c>
      <c r="E55" s="17" t="n">
        <v>13</v>
      </c>
      <c r="F55" s="7" t="n">
        <f aca="false">C55*E55</f>
        <v>13</v>
      </c>
      <c r="G55" s="14" t="s">
        <v>199</v>
      </c>
    </row>
    <row r="56" customFormat="false" ht="15" hidden="false" customHeight="true" outlineLevel="0" collapsed="false">
      <c r="B56" s="5" t="s">
        <v>200</v>
      </c>
      <c r="C56" s="47" t="n">
        <v>1</v>
      </c>
      <c r="D56" s="13" t="s">
        <v>167</v>
      </c>
      <c r="E56" s="17" t="n">
        <v>12</v>
      </c>
      <c r="F56" s="7" t="n">
        <f aca="false">C56*E56</f>
        <v>12</v>
      </c>
      <c r="G56" s="14" t="s">
        <v>201</v>
      </c>
    </row>
    <row r="57" customFormat="false" ht="15" hidden="false" customHeight="true" outlineLevel="0" collapsed="false">
      <c r="B57" s="5" t="s">
        <v>202</v>
      </c>
      <c r="C57" s="47" t="n">
        <v>1</v>
      </c>
      <c r="D57" s="13" t="s">
        <v>167</v>
      </c>
      <c r="E57" s="17" t="n">
        <v>20</v>
      </c>
      <c r="F57" s="7" t="n">
        <f aca="false">C57*E57</f>
        <v>20</v>
      </c>
      <c r="G57" s="14" t="s">
        <v>203</v>
      </c>
    </row>
    <row r="58" customFormat="false" ht="15.75" hidden="false" customHeight="true" outlineLevel="0" collapsed="false">
      <c r="B58" s="51" t="s">
        <v>149</v>
      </c>
      <c r="C58" s="51"/>
      <c r="D58" s="51"/>
      <c r="E58" s="51"/>
      <c r="F58" s="16" t="n">
        <f aca="false">SUM(F54:F57)</f>
        <v>237</v>
      </c>
    </row>
    <row r="59" customFormat="false" ht="21.75" hidden="false" customHeight="true" outlineLevel="0" collapsed="false"/>
    <row r="60" customFormat="false" ht="18" hidden="false" customHeight="true" outlineLevel="0" collapsed="false">
      <c r="B60" s="3" t="s">
        <v>204</v>
      </c>
      <c r="C60" s="3"/>
      <c r="D60" s="3"/>
      <c r="E60" s="3"/>
      <c r="F60" s="3"/>
      <c r="G60" s="3"/>
    </row>
    <row r="61" customFormat="false" ht="14.25" hidden="false" customHeight="false" outlineLevel="0" collapsed="false">
      <c r="B61" s="4" t="s">
        <v>135</v>
      </c>
      <c r="C61" s="4" t="s">
        <v>136</v>
      </c>
      <c r="D61" s="4" t="s">
        <v>137</v>
      </c>
      <c r="E61" s="4" t="s">
        <v>138</v>
      </c>
      <c r="F61" s="4" t="s">
        <v>139</v>
      </c>
      <c r="G61" s="4" t="s">
        <v>140</v>
      </c>
    </row>
    <row r="62" customFormat="false" ht="14.25" hidden="false" customHeight="false" outlineLevel="0" collapsed="false">
      <c r="B62" s="48" t="s">
        <v>205</v>
      </c>
      <c r="C62" s="47" t="n">
        <v>22</v>
      </c>
      <c r="D62" s="49" t="s">
        <v>142</v>
      </c>
      <c r="E62" s="17" t="n">
        <v>12</v>
      </c>
      <c r="F62" s="7" t="n">
        <f aca="false">C62*E62</f>
        <v>264</v>
      </c>
      <c r="G62" s="50" t="s">
        <v>206</v>
      </c>
    </row>
    <row r="63" customFormat="false" ht="15" hidden="false" customHeight="true" outlineLevel="0" collapsed="false">
      <c r="B63" s="48" t="s">
        <v>207</v>
      </c>
      <c r="C63" s="47" t="n">
        <v>22</v>
      </c>
      <c r="D63" s="13" t="s">
        <v>142</v>
      </c>
      <c r="E63" s="17" t="n">
        <v>5.2</v>
      </c>
      <c r="F63" s="7" t="n">
        <f aca="false">C63*E63</f>
        <v>114.4</v>
      </c>
      <c r="G63" s="50" t="s">
        <v>208</v>
      </c>
    </row>
    <row r="64" customFormat="false" ht="15" hidden="false" customHeight="true" outlineLevel="0" collapsed="false">
      <c r="B64" s="5" t="s">
        <v>209</v>
      </c>
      <c r="C64" s="47" t="n">
        <v>44</v>
      </c>
      <c r="D64" s="49" t="s">
        <v>210</v>
      </c>
      <c r="E64" s="17" t="n">
        <v>5.5</v>
      </c>
      <c r="F64" s="7" t="n">
        <f aca="false">C64*E64</f>
        <v>242</v>
      </c>
      <c r="G64" s="50" t="s">
        <v>211</v>
      </c>
    </row>
    <row r="65" customFormat="false" ht="15" hidden="false" customHeight="true" outlineLevel="0" collapsed="false">
      <c r="B65" s="48" t="s">
        <v>212</v>
      </c>
      <c r="C65" s="47" t="n">
        <v>1</v>
      </c>
      <c r="D65" s="49" t="s">
        <v>142</v>
      </c>
      <c r="E65" s="17" t="n">
        <v>30</v>
      </c>
      <c r="F65" s="7" t="n">
        <f aca="false">C65*E65</f>
        <v>30</v>
      </c>
      <c r="G65" s="14" t="s">
        <v>213</v>
      </c>
    </row>
    <row r="66" customFormat="false" ht="15" hidden="false" customHeight="true" outlineLevel="0" collapsed="false">
      <c r="B66" s="48" t="s">
        <v>214</v>
      </c>
      <c r="C66" s="47" t="n">
        <v>1</v>
      </c>
      <c r="D66" s="49" t="s">
        <v>145</v>
      </c>
      <c r="E66" s="17" t="n">
        <v>33</v>
      </c>
      <c r="F66" s="7" t="n">
        <f aca="false">C66*E66</f>
        <v>33</v>
      </c>
      <c r="G66" s="50" t="s">
        <v>215</v>
      </c>
    </row>
    <row r="67" customFormat="false" ht="15" hidden="false" customHeight="true" outlineLevel="0" collapsed="false">
      <c r="B67" s="48" t="s">
        <v>216</v>
      </c>
      <c r="C67" s="47" t="n">
        <v>176</v>
      </c>
      <c r="D67" s="49" t="s">
        <v>142</v>
      </c>
      <c r="E67" s="17" t="n">
        <v>4</v>
      </c>
      <c r="F67" s="7" t="n">
        <f aca="false">C67*E67</f>
        <v>704</v>
      </c>
      <c r="G67" s="50" t="s">
        <v>217</v>
      </c>
    </row>
    <row r="68" customFormat="false" ht="15.75" hidden="false" customHeight="true" outlineLevel="0" collapsed="false">
      <c r="B68" s="51" t="s">
        <v>149</v>
      </c>
      <c r="C68" s="51"/>
      <c r="D68" s="51"/>
      <c r="E68" s="51"/>
      <c r="F68" s="16" t="n">
        <f aca="false">SUM(F62:F67)</f>
        <v>1387.4</v>
      </c>
    </row>
    <row r="69" customFormat="false" ht="18" hidden="false" customHeight="true" outlineLevel="0" collapsed="false"/>
    <row r="70" customFormat="false" ht="18" hidden="false" customHeight="true" outlineLevel="0" collapsed="false">
      <c r="B70" s="3" t="s">
        <v>218</v>
      </c>
      <c r="C70" s="3"/>
      <c r="D70" s="3"/>
      <c r="E70" s="3"/>
      <c r="F70" s="3"/>
      <c r="G70" s="3"/>
    </row>
    <row r="71" customFormat="false" ht="15.75" hidden="false" customHeight="true" outlineLevel="0" collapsed="false">
      <c r="B71" s="4" t="s">
        <v>135</v>
      </c>
      <c r="C71" s="4" t="s">
        <v>136</v>
      </c>
      <c r="D71" s="4" t="s">
        <v>137</v>
      </c>
      <c r="E71" s="4" t="s">
        <v>138</v>
      </c>
      <c r="F71" s="4" t="s">
        <v>139</v>
      </c>
      <c r="G71" s="4" t="s">
        <v>140</v>
      </c>
    </row>
    <row r="72" customFormat="false" ht="15" hidden="false" customHeight="true" outlineLevel="0" collapsed="false">
      <c r="B72" s="5" t="s">
        <v>219</v>
      </c>
      <c r="C72" s="47" t="n">
        <v>6</v>
      </c>
      <c r="D72" s="13" t="s">
        <v>142</v>
      </c>
      <c r="E72" s="17" t="n">
        <v>3.5</v>
      </c>
      <c r="F72" s="7" t="n">
        <f aca="false">C72*E72</f>
        <v>21</v>
      </c>
      <c r="G72" s="14" t="s">
        <v>220</v>
      </c>
    </row>
    <row r="73" customFormat="false" ht="15" hidden="false" customHeight="true" outlineLevel="0" collapsed="false">
      <c r="B73" s="48" t="s">
        <v>221</v>
      </c>
      <c r="C73" s="47" t="n">
        <v>1</v>
      </c>
      <c r="D73" s="13" t="s">
        <v>145</v>
      </c>
      <c r="E73" s="17" t="n">
        <v>0</v>
      </c>
      <c r="F73" s="7" t="n">
        <f aca="false">C73*E73</f>
        <v>0</v>
      </c>
      <c r="G73" s="14" t="s">
        <v>222</v>
      </c>
    </row>
    <row r="74" customFormat="false" ht="15" hidden="false" customHeight="true" outlineLevel="0" collapsed="false">
      <c r="B74" s="5" t="s">
        <v>223</v>
      </c>
      <c r="C74" s="47" t="n">
        <v>1</v>
      </c>
      <c r="D74" s="49" t="s">
        <v>142</v>
      </c>
      <c r="E74" s="17" t="n">
        <v>3.5</v>
      </c>
      <c r="F74" s="7" t="n">
        <f aca="false">C74*E74</f>
        <v>3.5</v>
      </c>
      <c r="G74" s="14" t="s">
        <v>224</v>
      </c>
    </row>
    <row r="75" customFormat="false" ht="15.75" hidden="false" customHeight="true" outlineLevel="0" collapsed="false">
      <c r="B75" s="51" t="s">
        <v>149</v>
      </c>
      <c r="C75" s="51"/>
      <c r="D75" s="51"/>
      <c r="E75" s="51"/>
      <c r="F75" s="16" t="n">
        <f aca="false">SUM(F72:F74)</f>
        <v>24.5</v>
      </c>
    </row>
    <row r="76" customFormat="false" ht="18" hidden="false" customHeight="true" outlineLevel="0" collapsed="false"/>
    <row r="77" customFormat="false" ht="18" hidden="false" customHeight="true" outlineLevel="0" collapsed="false">
      <c r="B77" s="3" t="s">
        <v>225</v>
      </c>
      <c r="C77" s="3"/>
      <c r="D77" s="3"/>
      <c r="E77" s="3"/>
      <c r="F77" s="3"/>
      <c r="G77" s="3"/>
    </row>
    <row r="78" customFormat="false" ht="15.75" hidden="false" customHeight="true" outlineLevel="0" collapsed="false">
      <c r="B78" s="4" t="s">
        <v>135</v>
      </c>
      <c r="C78" s="4" t="s">
        <v>136</v>
      </c>
      <c r="D78" s="4" t="s">
        <v>137</v>
      </c>
      <c r="E78" s="4" t="s">
        <v>138</v>
      </c>
      <c r="F78" s="4" t="s">
        <v>139</v>
      </c>
      <c r="G78" s="4" t="s">
        <v>140</v>
      </c>
    </row>
    <row r="79" customFormat="false" ht="15" hidden="false" customHeight="true" outlineLevel="0" collapsed="false">
      <c r="B79" s="5" t="s">
        <v>226</v>
      </c>
      <c r="C79" s="47" t="n">
        <v>3</v>
      </c>
      <c r="D79" s="13" t="s">
        <v>154</v>
      </c>
      <c r="E79" s="17" t="n">
        <v>200</v>
      </c>
      <c r="F79" s="7" t="n">
        <f aca="false">C79*E79</f>
        <v>600</v>
      </c>
      <c r="G79" s="14" t="s">
        <v>227</v>
      </c>
    </row>
    <row r="80" customFormat="false" ht="15" hidden="false" customHeight="true" outlineLevel="0" collapsed="false">
      <c r="B80" s="48" t="s">
        <v>228</v>
      </c>
      <c r="C80" s="47" t="n">
        <v>1</v>
      </c>
      <c r="D80" s="49" t="s">
        <v>154</v>
      </c>
      <c r="E80" s="17" t="n">
        <v>325</v>
      </c>
      <c r="F80" s="7" t="n">
        <f aca="false">C80*E80</f>
        <v>325</v>
      </c>
      <c r="G80" s="50" t="s">
        <v>229</v>
      </c>
    </row>
    <row r="81" customFormat="false" ht="15" hidden="false" customHeight="true" outlineLevel="0" collapsed="false">
      <c r="B81" s="5" t="s">
        <v>230</v>
      </c>
      <c r="C81" s="47" t="n">
        <v>3</v>
      </c>
      <c r="D81" s="13" t="s">
        <v>142</v>
      </c>
      <c r="E81" s="17" t="n">
        <v>150</v>
      </c>
      <c r="F81" s="7" t="n">
        <f aca="false">C81*E81</f>
        <v>450</v>
      </c>
      <c r="G81" s="14" t="s">
        <v>231</v>
      </c>
    </row>
    <row r="82" customFormat="false" ht="15" hidden="false" customHeight="true" outlineLevel="0" collapsed="false">
      <c r="B82" s="5" t="s">
        <v>232</v>
      </c>
      <c r="C82" s="47" t="n">
        <v>6</v>
      </c>
      <c r="D82" s="13" t="s">
        <v>145</v>
      </c>
      <c r="E82" s="17" t="n">
        <v>26</v>
      </c>
      <c r="F82" s="7" t="n">
        <f aca="false">C82*E82</f>
        <v>156</v>
      </c>
      <c r="G82" s="14" t="s">
        <v>233</v>
      </c>
    </row>
    <row r="83" customFormat="false" ht="15" hidden="false" customHeight="true" outlineLevel="0" collapsed="false">
      <c r="B83" s="5" t="s">
        <v>234</v>
      </c>
      <c r="C83" s="47" t="n">
        <v>1</v>
      </c>
      <c r="D83" s="49" t="s">
        <v>145</v>
      </c>
      <c r="E83" s="17" t="n">
        <v>40</v>
      </c>
      <c r="F83" s="7" t="n">
        <f aca="false">C83*E83</f>
        <v>40</v>
      </c>
      <c r="G83" s="14" t="s">
        <v>235</v>
      </c>
    </row>
    <row r="84" customFormat="false" ht="15" hidden="false" customHeight="true" outlineLevel="0" collapsed="false">
      <c r="B84" s="48" t="s">
        <v>236</v>
      </c>
      <c r="C84" s="47" t="n">
        <v>15</v>
      </c>
      <c r="D84" s="49" t="s">
        <v>142</v>
      </c>
      <c r="E84" s="17" t="n">
        <v>0</v>
      </c>
      <c r="F84" s="7" t="n">
        <f aca="false">C84*E84</f>
        <v>0</v>
      </c>
      <c r="G84" s="14"/>
    </row>
    <row r="85" customFormat="false" ht="15" hidden="false" customHeight="true" outlineLevel="0" collapsed="false">
      <c r="B85" s="5" t="s">
        <v>237</v>
      </c>
      <c r="C85" s="47" t="n">
        <v>2</v>
      </c>
      <c r="D85" s="13" t="s">
        <v>145</v>
      </c>
      <c r="E85" s="17" t="n">
        <v>20</v>
      </c>
      <c r="F85" s="7" t="n">
        <f aca="false">C85*E85</f>
        <v>40</v>
      </c>
      <c r="G85" s="14" t="s">
        <v>238</v>
      </c>
    </row>
    <row r="86" customFormat="false" ht="15" hidden="false" customHeight="true" outlineLevel="0" collapsed="false">
      <c r="B86" s="48" t="s">
        <v>239</v>
      </c>
      <c r="C86" s="47" t="n">
        <v>5</v>
      </c>
      <c r="D86" s="49" t="s">
        <v>142</v>
      </c>
      <c r="E86" s="17" t="n">
        <v>4.6</v>
      </c>
      <c r="F86" s="7" t="n">
        <f aca="false">C86*E86</f>
        <v>23</v>
      </c>
      <c r="G86" s="50" t="s">
        <v>240</v>
      </c>
    </row>
    <row r="87" customFormat="false" ht="15" hidden="false" customHeight="true" outlineLevel="0" collapsed="false">
      <c r="B87" s="48" t="s">
        <v>241</v>
      </c>
      <c r="C87" s="47" t="n">
        <v>16</v>
      </c>
      <c r="D87" s="49" t="s">
        <v>142</v>
      </c>
      <c r="E87" s="17" t="n">
        <v>4.15</v>
      </c>
      <c r="F87" s="7" t="n">
        <f aca="false">C87*E87</f>
        <v>66.4</v>
      </c>
      <c r="G87" s="50" t="s">
        <v>240</v>
      </c>
    </row>
    <row r="88" customFormat="false" ht="15" hidden="false" customHeight="true" outlineLevel="0" collapsed="false">
      <c r="B88" s="48" t="s">
        <v>242</v>
      </c>
      <c r="C88" s="47" t="n">
        <v>44</v>
      </c>
      <c r="D88" s="49" t="s">
        <v>142</v>
      </c>
      <c r="E88" s="17" t="n">
        <v>2.15</v>
      </c>
      <c r="F88" s="7" t="n">
        <f aca="false">C88*E88</f>
        <v>94.6</v>
      </c>
      <c r="G88" s="50" t="s">
        <v>240</v>
      </c>
    </row>
    <row r="89" customFormat="false" ht="15" hidden="false" customHeight="true" outlineLevel="0" collapsed="false">
      <c r="B89" s="48" t="s">
        <v>243</v>
      </c>
      <c r="C89" s="47" t="n">
        <v>10</v>
      </c>
      <c r="D89" s="49" t="s">
        <v>142</v>
      </c>
      <c r="E89" s="17" t="n">
        <v>2</v>
      </c>
      <c r="F89" s="7" t="n">
        <f aca="false">C89*E89</f>
        <v>20</v>
      </c>
      <c r="G89" s="50" t="s">
        <v>244</v>
      </c>
    </row>
    <row r="90" customFormat="false" ht="15" hidden="false" customHeight="true" outlineLevel="0" collapsed="false">
      <c r="B90" s="48" t="s">
        <v>245</v>
      </c>
      <c r="C90" s="47" t="n">
        <v>7</v>
      </c>
      <c r="D90" s="49" t="s">
        <v>167</v>
      </c>
      <c r="E90" s="17" t="n">
        <v>7.7</v>
      </c>
      <c r="F90" s="7" t="n">
        <f aca="false">C90*E90</f>
        <v>53.9</v>
      </c>
      <c r="G90" s="50" t="s">
        <v>246</v>
      </c>
    </row>
    <row r="91" customFormat="false" ht="15" hidden="false" customHeight="true" outlineLevel="0" collapsed="false">
      <c r="B91" s="5" t="s">
        <v>247</v>
      </c>
      <c r="C91" s="47" t="n">
        <v>6</v>
      </c>
      <c r="D91" s="13" t="s">
        <v>142</v>
      </c>
      <c r="E91" s="17" t="n">
        <v>20</v>
      </c>
      <c r="F91" s="7" t="n">
        <f aca="false">C91*E91</f>
        <v>120</v>
      </c>
    </row>
    <row r="92" customFormat="false" ht="15.75" hidden="false" customHeight="true" outlineLevel="0" collapsed="false">
      <c r="B92" s="51" t="s">
        <v>149</v>
      </c>
      <c r="C92" s="51"/>
      <c r="D92" s="51"/>
      <c r="E92" s="51"/>
      <c r="F92" s="16" t="n">
        <f aca="false">SUM(F79:F91)</f>
        <v>1988.9</v>
      </c>
    </row>
    <row r="93" customFormat="false" ht="18" hidden="false" customHeight="true" outlineLevel="0" collapsed="false"/>
    <row r="94" customFormat="false" ht="18" hidden="false" customHeight="true" outlineLevel="0" collapsed="false">
      <c r="B94" s="3" t="s">
        <v>117</v>
      </c>
      <c r="C94" s="3"/>
      <c r="D94" s="3"/>
      <c r="E94" s="3"/>
      <c r="F94" s="3"/>
      <c r="G94" s="3"/>
    </row>
    <row r="95" customFormat="false" ht="15.75" hidden="false" customHeight="true" outlineLevel="0" collapsed="false">
      <c r="B95" s="4" t="s">
        <v>135</v>
      </c>
      <c r="C95" s="4" t="s">
        <v>136</v>
      </c>
      <c r="D95" s="4" t="s">
        <v>137</v>
      </c>
      <c r="E95" s="4" t="s">
        <v>138</v>
      </c>
      <c r="F95" s="4" t="s">
        <v>139</v>
      </c>
      <c r="G95" s="4" t="s">
        <v>140</v>
      </c>
    </row>
    <row r="96" customFormat="false" ht="15" hidden="false" customHeight="true" outlineLevel="0" collapsed="false">
      <c r="B96" s="5" t="s">
        <v>248</v>
      </c>
      <c r="C96" s="47" t="n">
        <v>1</v>
      </c>
      <c r="D96" s="13" t="s">
        <v>249</v>
      </c>
      <c r="E96" s="17" t="n">
        <v>750</v>
      </c>
      <c r="F96" s="7" t="n">
        <f aca="false">C96*E96</f>
        <v>750</v>
      </c>
      <c r="G96" s="14" t="s">
        <v>250</v>
      </c>
    </row>
    <row r="97" customFormat="false" ht="15" hidden="false" customHeight="true" outlineLevel="0" collapsed="false">
      <c r="B97" s="48" t="s">
        <v>251</v>
      </c>
      <c r="C97" s="47" t="n">
        <v>1</v>
      </c>
      <c r="D97" s="13" t="s">
        <v>142</v>
      </c>
      <c r="E97" s="17" t="n">
        <v>4000</v>
      </c>
      <c r="F97" s="7" t="n">
        <f aca="false">C97*E97</f>
        <v>4000</v>
      </c>
      <c r="G97" s="50" t="s">
        <v>252</v>
      </c>
    </row>
    <row r="98" customFormat="false" ht="15" hidden="false" customHeight="true" outlineLevel="0" collapsed="false">
      <c r="B98" s="5" t="s">
        <v>253</v>
      </c>
      <c r="C98" s="47" t="n">
        <v>5</v>
      </c>
      <c r="D98" s="13" t="s">
        <v>142</v>
      </c>
      <c r="E98" s="17" t="n">
        <v>15</v>
      </c>
      <c r="F98" s="7" t="n">
        <f aca="false">C98*E98</f>
        <v>75</v>
      </c>
      <c r="G98" s="14" t="s">
        <v>254</v>
      </c>
    </row>
    <row r="99" customFormat="false" ht="15.75" hidden="false" customHeight="true" outlineLevel="0" collapsed="false">
      <c r="B99" s="51" t="s">
        <v>149</v>
      </c>
      <c r="C99" s="51"/>
      <c r="D99" s="51"/>
      <c r="E99" s="51"/>
      <c r="F99" s="16" t="n">
        <f aca="false">SUM(F96:F98)</f>
        <v>4825</v>
      </c>
    </row>
    <row r="100" customFormat="false" ht="15.75" hidden="false" customHeight="true" outlineLevel="0" collapsed="false"/>
    <row r="101" customFormat="false" ht="18" hidden="false" customHeight="true" outlineLevel="0" collapsed="false">
      <c r="B101" s="3" t="s">
        <v>255</v>
      </c>
      <c r="C101" s="3"/>
      <c r="D101" s="3"/>
      <c r="E101" s="3"/>
      <c r="F101" s="3"/>
      <c r="G101" s="3"/>
    </row>
    <row r="102" customFormat="false" ht="15.75" hidden="false" customHeight="true" outlineLevel="0" collapsed="false">
      <c r="B102" s="4" t="s">
        <v>135</v>
      </c>
      <c r="C102" s="4" t="s">
        <v>136</v>
      </c>
      <c r="D102" s="4" t="s">
        <v>137</v>
      </c>
      <c r="E102" s="4" t="s">
        <v>138</v>
      </c>
      <c r="F102" s="4" t="s">
        <v>139</v>
      </c>
      <c r="G102" s="4" t="s">
        <v>140</v>
      </c>
    </row>
    <row r="103" customFormat="false" ht="15" hidden="false" customHeight="true" outlineLevel="0" collapsed="false">
      <c r="B103" s="5" t="s">
        <v>256</v>
      </c>
      <c r="C103" s="47" t="n">
        <v>1</v>
      </c>
      <c r="D103" s="13" t="s">
        <v>142</v>
      </c>
      <c r="E103" s="17" t="n">
        <v>500</v>
      </c>
      <c r="F103" s="7" t="n">
        <f aca="false">C103*E103</f>
        <v>500</v>
      </c>
      <c r="G103" s="14" t="s">
        <v>257</v>
      </c>
    </row>
    <row r="104" customFormat="false" ht="15" hidden="false" customHeight="true" outlineLevel="0" collapsed="false">
      <c r="B104" s="5" t="s">
        <v>258</v>
      </c>
      <c r="C104" s="47" t="n">
        <v>1</v>
      </c>
      <c r="D104" s="13" t="s">
        <v>154</v>
      </c>
      <c r="E104" s="17" t="n">
        <v>0</v>
      </c>
      <c r="F104" s="7" t="n">
        <f aca="false">C104*E104</f>
        <v>0</v>
      </c>
      <c r="G104" s="50" t="s">
        <v>259</v>
      </c>
    </row>
    <row r="105" customFormat="false" ht="15.75" hidden="false" customHeight="true" outlineLevel="0" collapsed="false">
      <c r="B105" s="51" t="s">
        <v>149</v>
      </c>
      <c r="C105" s="51"/>
      <c r="D105" s="51"/>
      <c r="E105" s="51"/>
      <c r="F105" s="16" t="n">
        <f aca="false">SUM(F103:F104)</f>
        <v>500</v>
      </c>
    </row>
    <row r="106" customFormat="false" ht="14.25" hidden="false" customHeight="true" outlineLevel="0" collapsed="false"/>
    <row r="107" customFormat="false" ht="18" hidden="false" customHeight="true" outlineLevel="0" collapsed="false">
      <c r="B107" s="3" t="s">
        <v>260</v>
      </c>
      <c r="C107" s="3"/>
      <c r="D107" s="3"/>
      <c r="E107" s="3"/>
      <c r="F107" s="3"/>
      <c r="G107" s="3"/>
    </row>
    <row r="108" customFormat="false" ht="15.75" hidden="false" customHeight="true" outlineLevel="0" collapsed="false">
      <c r="B108" s="4" t="s">
        <v>135</v>
      </c>
      <c r="C108" s="4" t="s">
        <v>136</v>
      </c>
      <c r="D108" s="4" t="s">
        <v>137</v>
      </c>
      <c r="E108" s="4" t="s">
        <v>138</v>
      </c>
      <c r="F108" s="4" t="s">
        <v>139</v>
      </c>
      <c r="G108" s="4" t="s">
        <v>140</v>
      </c>
    </row>
    <row r="109" customFormat="false" ht="15" hidden="false" customHeight="true" outlineLevel="0" collapsed="false">
      <c r="B109" s="5" t="s">
        <v>261</v>
      </c>
      <c r="C109" s="47" t="n">
        <v>5</v>
      </c>
      <c r="D109" s="13" t="s">
        <v>142</v>
      </c>
      <c r="E109" s="17" t="n">
        <v>72</v>
      </c>
      <c r="F109" s="7" t="n">
        <f aca="false">C109*E109</f>
        <v>360</v>
      </c>
      <c r="G109" s="14" t="s">
        <v>262</v>
      </c>
    </row>
    <row r="110" customFormat="false" ht="15" hidden="false" customHeight="true" outlineLevel="0" collapsed="false">
      <c r="B110" s="5" t="s">
        <v>263</v>
      </c>
      <c r="C110" s="47" t="n">
        <v>2</v>
      </c>
      <c r="D110" s="13" t="s">
        <v>142</v>
      </c>
      <c r="E110" s="17" t="n">
        <v>75</v>
      </c>
      <c r="F110" s="7" t="n">
        <f aca="false">C110*E110</f>
        <v>150</v>
      </c>
    </row>
    <row r="111" customFormat="false" ht="15" hidden="false" customHeight="true" outlineLevel="0" collapsed="false">
      <c r="B111" s="5" t="s">
        <v>264</v>
      </c>
      <c r="C111" s="47" t="n">
        <v>6</v>
      </c>
      <c r="D111" s="13" t="s">
        <v>142</v>
      </c>
      <c r="E111" s="17" t="n">
        <v>15</v>
      </c>
      <c r="F111" s="7" t="n">
        <f aca="false">C111*E111</f>
        <v>90</v>
      </c>
    </row>
    <row r="112" customFormat="false" ht="15" hidden="false" customHeight="true" outlineLevel="0" collapsed="false">
      <c r="B112" s="5" t="s">
        <v>265</v>
      </c>
      <c r="C112" s="47" t="n">
        <v>5</v>
      </c>
      <c r="D112" s="13" t="s">
        <v>142</v>
      </c>
      <c r="E112" s="17" t="n">
        <v>20</v>
      </c>
      <c r="F112" s="7" t="n">
        <f aca="false">C112*E112</f>
        <v>100</v>
      </c>
    </row>
    <row r="113" customFormat="false" ht="15" hidden="false" customHeight="true" outlineLevel="0" collapsed="false">
      <c r="B113" s="5" t="s">
        <v>266</v>
      </c>
      <c r="C113" s="47" t="n">
        <v>6</v>
      </c>
      <c r="D113" s="13" t="s">
        <v>167</v>
      </c>
      <c r="E113" s="17" t="n">
        <v>1.78</v>
      </c>
      <c r="F113" s="7" t="n">
        <f aca="false">C113*E113</f>
        <v>10.68</v>
      </c>
      <c r="G113" s="14" t="s">
        <v>267</v>
      </c>
    </row>
    <row r="114" customFormat="false" ht="15" hidden="false" customHeight="true" outlineLevel="0" collapsed="false">
      <c r="B114" s="5" t="s">
        <v>268</v>
      </c>
      <c r="C114" s="47" t="n">
        <v>1</v>
      </c>
      <c r="D114" s="13" t="s">
        <v>145</v>
      </c>
      <c r="E114" s="17" t="n">
        <v>10</v>
      </c>
      <c r="F114" s="7" t="n">
        <f aca="false">C114*E114</f>
        <v>10</v>
      </c>
      <c r="G114" s="14" t="s">
        <v>269</v>
      </c>
    </row>
    <row r="115" customFormat="false" ht="15.75" hidden="false" customHeight="true" outlineLevel="0" collapsed="false">
      <c r="B115" s="51" t="s">
        <v>149</v>
      </c>
      <c r="C115" s="51"/>
      <c r="D115" s="51"/>
      <c r="E115" s="51"/>
      <c r="F115" s="16" t="n">
        <f aca="false">SUM(F109:F114)</f>
        <v>720.68</v>
      </c>
    </row>
    <row r="116" customFormat="false" ht="14.25" hidden="false" customHeight="true" outlineLevel="0" collapsed="false"/>
    <row r="117" customFormat="false" ht="18" hidden="false" customHeight="true" outlineLevel="0" collapsed="false">
      <c r="B117" s="3" t="s">
        <v>270</v>
      </c>
      <c r="C117" s="3"/>
      <c r="D117" s="3"/>
      <c r="E117" s="3"/>
      <c r="F117" s="3"/>
      <c r="G117" s="3"/>
    </row>
    <row r="118" customFormat="false" ht="15.75" hidden="false" customHeight="true" outlineLevel="0" collapsed="false">
      <c r="B118" s="4" t="s">
        <v>135</v>
      </c>
      <c r="C118" s="4" t="s">
        <v>136</v>
      </c>
      <c r="D118" s="4" t="s">
        <v>137</v>
      </c>
      <c r="E118" s="4" t="s">
        <v>138</v>
      </c>
      <c r="F118" s="4" t="s">
        <v>139</v>
      </c>
      <c r="G118" s="4" t="s">
        <v>140</v>
      </c>
    </row>
    <row r="119" customFormat="false" ht="15" hidden="false" customHeight="true" outlineLevel="0" collapsed="false">
      <c r="B119" s="5" t="s">
        <v>271</v>
      </c>
      <c r="C119" s="47" t="n">
        <v>20</v>
      </c>
      <c r="D119" s="13" t="s">
        <v>196</v>
      </c>
      <c r="E119" s="17" t="n">
        <v>20</v>
      </c>
      <c r="F119" s="7" t="n">
        <f aca="false">C119*E119</f>
        <v>400</v>
      </c>
      <c r="G119" s="14" t="s">
        <v>272</v>
      </c>
    </row>
    <row r="120" customFormat="false" ht="15" hidden="false" customHeight="true" outlineLevel="0" collapsed="false">
      <c r="B120" s="5" t="s">
        <v>273</v>
      </c>
      <c r="C120" s="47" t="n">
        <v>3</v>
      </c>
      <c r="D120" s="13" t="s">
        <v>196</v>
      </c>
      <c r="E120" s="17" t="n">
        <v>53</v>
      </c>
      <c r="F120" s="7" t="n">
        <f aca="false">C120*E120</f>
        <v>159</v>
      </c>
      <c r="G120" s="14" t="s">
        <v>197</v>
      </c>
    </row>
    <row r="121" customFormat="false" ht="15" hidden="false" customHeight="true" outlineLevel="0" collapsed="false">
      <c r="B121" s="5" t="s">
        <v>274</v>
      </c>
      <c r="C121" s="47" t="n">
        <v>2</v>
      </c>
      <c r="D121" s="13" t="s">
        <v>142</v>
      </c>
      <c r="E121" s="17" t="n">
        <v>13</v>
      </c>
      <c r="F121" s="7" t="n">
        <f aca="false">C121*E121</f>
        <v>26</v>
      </c>
      <c r="G121" s="14" t="s">
        <v>275</v>
      </c>
    </row>
    <row r="122" customFormat="false" ht="15" hidden="false" customHeight="true" outlineLevel="0" collapsed="false">
      <c r="B122" s="5" t="s">
        <v>200</v>
      </c>
      <c r="C122" s="47" t="n">
        <v>1</v>
      </c>
      <c r="D122" s="13" t="s">
        <v>167</v>
      </c>
      <c r="E122" s="17" t="n">
        <v>12</v>
      </c>
      <c r="F122" s="7" t="n">
        <f aca="false">C122*E122</f>
        <v>12</v>
      </c>
      <c r="G122" s="14" t="s">
        <v>276</v>
      </c>
    </row>
    <row r="123" customFormat="false" ht="15" hidden="false" customHeight="true" outlineLevel="0" collapsed="false">
      <c r="B123" s="5" t="s">
        <v>202</v>
      </c>
      <c r="C123" s="47" t="n">
        <v>1</v>
      </c>
      <c r="D123" s="13" t="s">
        <v>167</v>
      </c>
      <c r="E123" s="17" t="n">
        <v>20</v>
      </c>
      <c r="F123" s="7" t="n">
        <f aca="false">C123*E123</f>
        <v>20</v>
      </c>
      <c r="G123" s="14" t="s">
        <v>203</v>
      </c>
    </row>
    <row r="124" customFormat="false" ht="15" hidden="false" customHeight="true" outlineLevel="0" collapsed="false">
      <c r="B124" s="5" t="s">
        <v>277</v>
      </c>
      <c r="C124" s="47" t="n">
        <v>14</v>
      </c>
      <c r="D124" s="13" t="s">
        <v>193</v>
      </c>
      <c r="E124" s="17" t="n">
        <v>8</v>
      </c>
      <c r="F124" s="7" t="n">
        <f aca="false">C124*E124</f>
        <v>112</v>
      </c>
      <c r="G124" s="14" t="s">
        <v>278</v>
      </c>
    </row>
    <row r="125" customFormat="false" ht="15.75" hidden="false" customHeight="true" outlineLevel="0" collapsed="false">
      <c r="B125" s="51" t="s">
        <v>149</v>
      </c>
      <c r="C125" s="51"/>
      <c r="D125" s="51"/>
      <c r="E125" s="51"/>
      <c r="F125" s="16" t="n">
        <f aca="false">SUM(F119:F124)</f>
        <v>729</v>
      </c>
    </row>
    <row r="126" customFormat="false" ht="14.25" hidden="false" customHeight="true" outlineLevel="0" collapsed="false"/>
    <row r="127" customFormat="false" ht="18" hidden="false" customHeight="true" outlineLevel="0" collapsed="false">
      <c r="B127" s="3" t="s">
        <v>279</v>
      </c>
      <c r="C127" s="3"/>
      <c r="D127" s="3"/>
      <c r="E127" s="3"/>
      <c r="F127" s="3"/>
      <c r="G127" s="3"/>
    </row>
    <row r="128" customFormat="false" ht="15.75" hidden="false" customHeight="true" outlineLevel="0" collapsed="false">
      <c r="B128" s="4" t="s">
        <v>135</v>
      </c>
      <c r="C128" s="4" t="s">
        <v>136</v>
      </c>
      <c r="D128" s="4" t="s">
        <v>137</v>
      </c>
      <c r="E128" s="4" t="s">
        <v>138</v>
      </c>
      <c r="F128" s="4" t="s">
        <v>139</v>
      </c>
      <c r="G128" s="4" t="s">
        <v>140</v>
      </c>
    </row>
    <row r="129" customFormat="false" ht="15" hidden="false" customHeight="true" outlineLevel="0" collapsed="false">
      <c r="B129" s="5" t="s">
        <v>280</v>
      </c>
      <c r="C129" s="47" t="n">
        <v>25</v>
      </c>
      <c r="D129" s="13" t="s">
        <v>281</v>
      </c>
      <c r="E129" s="17" t="n">
        <v>3</v>
      </c>
      <c r="F129" s="7" t="n">
        <f aca="false">C129*E129</f>
        <v>75</v>
      </c>
      <c r="G129" s="14" t="s">
        <v>282</v>
      </c>
    </row>
    <row r="130" customFormat="false" ht="15" hidden="false" customHeight="true" outlineLevel="0" collapsed="false">
      <c r="B130" s="48" t="s">
        <v>283</v>
      </c>
      <c r="C130" s="47" t="n">
        <v>1</v>
      </c>
      <c r="D130" s="49" t="s">
        <v>142</v>
      </c>
      <c r="E130" s="17" t="n">
        <v>20</v>
      </c>
      <c r="F130" s="7" t="n">
        <f aca="false">C130*E130</f>
        <v>20</v>
      </c>
      <c r="G130" s="50" t="s">
        <v>284</v>
      </c>
    </row>
    <row r="131" customFormat="false" ht="15" hidden="false" customHeight="true" outlineLevel="0" collapsed="false">
      <c r="B131" s="48" t="s">
        <v>285</v>
      </c>
      <c r="C131" s="47" t="n">
        <v>1</v>
      </c>
      <c r="D131" s="49" t="s">
        <v>196</v>
      </c>
      <c r="E131" s="17" t="n">
        <v>36</v>
      </c>
      <c r="F131" s="7" t="n">
        <f aca="false">C131*E131</f>
        <v>36</v>
      </c>
      <c r="G131" s="50" t="s">
        <v>286</v>
      </c>
    </row>
    <row r="132" customFormat="false" ht="15" hidden="false" customHeight="true" outlineLevel="0" collapsed="false">
      <c r="B132" s="48" t="s">
        <v>287</v>
      </c>
      <c r="C132" s="47" t="n">
        <v>1</v>
      </c>
      <c r="D132" s="49" t="s">
        <v>145</v>
      </c>
      <c r="E132" s="17" t="n">
        <v>13</v>
      </c>
      <c r="F132" s="7" t="n">
        <f aca="false">C132*E132</f>
        <v>13</v>
      </c>
      <c r="G132" s="50" t="s">
        <v>288</v>
      </c>
    </row>
    <row r="133" customFormat="false" ht="15" hidden="false" customHeight="true" outlineLevel="0" collapsed="false">
      <c r="B133" s="5" t="s">
        <v>289</v>
      </c>
      <c r="C133" s="47" t="n">
        <v>1</v>
      </c>
      <c r="D133" s="13" t="s">
        <v>142</v>
      </c>
      <c r="E133" s="17" t="n">
        <v>18</v>
      </c>
      <c r="F133" s="7" t="n">
        <f aca="false">C133*E133</f>
        <v>18</v>
      </c>
    </row>
    <row r="134" customFormat="false" ht="15" hidden="false" customHeight="true" outlineLevel="0" collapsed="false">
      <c r="B134" s="5" t="s">
        <v>290</v>
      </c>
      <c r="C134" s="47" t="n">
        <v>1</v>
      </c>
      <c r="D134" s="13" t="s">
        <v>142</v>
      </c>
      <c r="E134" s="17" t="n">
        <v>8</v>
      </c>
      <c r="F134" s="7" t="n">
        <f aca="false">C134*E134</f>
        <v>8</v>
      </c>
    </row>
    <row r="135" customFormat="false" ht="15" hidden="false" customHeight="true" outlineLevel="0" collapsed="false">
      <c r="B135" s="5" t="s">
        <v>291</v>
      </c>
      <c r="C135" s="47" t="n">
        <v>1</v>
      </c>
      <c r="D135" s="13" t="s">
        <v>142</v>
      </c>
      <c r="E135" s="17" t="n">
        <v>34</v>
      </c>
      <c r="F135" s="7" t="n">
        <f aca="false">C135*E135</f>
        <v>34</v>
      </c>
      <c r="G135" s="50" t="s">
        <v>292</v>
      </c>
    </row>
    <row r="136" customFormat="false" ht="15" hidden="false" customHeight="true" outlineLevel="0" collapsed="false">
      <c r="B136" s="5" t="s">
        <v>293</v>
      </c>
      <c r="C136" s="47" t="n">
        <v>1</v>
      </c>
      <c r="D136" s="13" t="s">
        <v>142</v>
      </c>
      <c r="E136" s="17" t="n">
        <v>30</v>
      </c>
      <c r="F136" s="7" t="n">
        <f aca="false">C136*E136</f>
        <v>30</v>
      </c>
      <c r="G136" s="52" t="s">
        <v>294</v>
      </c>
    </row>
    <row r="137" customFormat="false" ht="15" hidden="false" customHeight="true" outlineLevel="0" collapsed="false">
      <c r="B137" s="48" t="s">
        <v>295</v>
      </c>
      <c r="C137" s="47" t="n">
        <v>1</v>
      </c>
      <c r="D137" s="49" t="s">
        <v>145</v>
      </c>
      <c r="E137" s="17" t="n">
        <v>28</v>
      </c>
      <c r="F137" s="7" t="n">
        <f aca="false">C137*E137</f>
        <v>28</v>
      </c>
      <c r="G137" s="50" t="s">
        <v>296</v>
      </c>
    </row>
    <row r="138" customFormat="false" ht="15" hidden="false" customHeight="true" outlineLevel="0" collapsed="false">
      <c r="B138" s="5" t="s">
        <v>297</v>
      </c>
      <c r="C138" s="47" t="n">
        <v>1</v>
      </c>
      <c r="D138" s="13" t="s">
        <v>142</v>
      </c>
      <c r="E138" s="17" t="n">
        <v>149</v>
      </c>
      <c r="F138" s="7" t="n">
        <f aca="false">C138*E138</f>
        <v>149</v>
      </c>
    </row>
    <row r="139" customFormat="false" ht="15" hidden="false" customHeight="true" outlineLevel="0" collapsed="false">
      <c r="B139" s="5" t="s">
        <v>298</v>
      </c>
      <c r="C139" s="47" t="n">
        <v>1</v>
      </c>
      <c r="D139" s="13" t="s">
        <v>142</v>
      </c>
      <c r="E139" s="17" t="n">
        <v>35</v>
      </c>
      <c r="F139" s="7" t="n">
        <f aca="false">C139*E139</f>
        <v>35</v>
      </c>
    </row>
    <row r="140" customFormat="false" ht="15" hidden="false" customHeight="true" outlineLevel="0" collapsed="false">
      <c r="B140" s="5" t="s">
        <v>299</v>
      </c>
      <c r="C140" s="47" t="n">
        <v>1</v>
      </c>
      <c r="D140" s="13" t="s">
        <v>142</v>
      </c>
      <c r="E140" s="17" t="n">
        <v>50</v>
      </c>
      <c r="F140" s="7" t="n">
        <f aca="false">C140*E140</f>
        <v>50</v>
      </c>
    </row>
    <row r="141" customFormat="false" ht="15" hidden="false" customHeight="true" outlineLevel="0" collapsed="false">
      <c r="B141" s="5" t="s">
        <v>300</v>
      </c>
      <c r="C141" s="47" t="n">
        <v>1</v>
      </c>
      <c r="D141" s="13" t="s">
        <v>142</v>
      </c>
      <c r="E141" s="17" t="n">
        <v>45</v>
      </c>
      <c r="F141" s="7" t="n">
        <f aca="false">C141*E141</f>
        <v>45</v>
      </c>
    </row>
    <row r="142" customFormat="false" ht="15.75" hidden="false" customHeight="true" outlineLevel="0" collapsed="false">
      <c r="B142" s="51" t="s">
        <v>149</v>
      </c>
      <c r="C142" s="51"/>
      <c r="D142" s="51"/>
      <c r="E142" s="51"/>
      <c r="F142" s="16" t="n">
        <f aca="false">SUM(F129:F141)</f>
        <v>541</v>
      </c>
    </row>
    <row r="144" customFormat="false" ht="18" hidden="false" customHeight="true" outlineLevel="0" collapsed="false">
      <c r="B144" s="3" t="s">
        <v>301</v>
      </c>
      <c r="C144" s="3"/>
      <c r="D144" s="3"/>
      <c r="E144" s="3"/>
      <c r="F144" s="3"/>
      <c r="G144" s="3"/>
    </row>
    <row r="145" customFormat="false" ht="15.75" hidden="false" customHeight="true" outlineLevel="0" collapsed="false">
      <c r="B145" s="4" t="s">
        <v>135</v>
      </c>
      <c r="C145" s="4" t="s">
        <v>136</v>
      </c>
      <c r="D145" s="4" t="s">
        <v>137</v>
      </c>
      <c r="E145" s="4" t="s">
        <v>138</v>
      </c>
      <c r="F145" s="4" t="s">
        <v>139</v>
      </c>
      <c r="G145" s="4" t="s">
        <v>140</v>
      </c>
    </row>
    <row r="146" customFormat="false" ht="15" hidden="false" customHeight="true" outlineLevel="0" collapsed="false">
      <c r="B146" s="5" t="s">
        <v>302</v>
      </c>
      <c r="C146" s="47" t="n">
        <v>1</v>
      </c>
      <c r="D146" s="13" t="s">
        <v>142</v>
      </c>
      <c r="E146" s="17" t="n">
        <v>30</v>
      </c>
      <c r="F146" s="7" t="n">
        <f aca="false">C146*E146</f>
        <v>30</v>
      </c>
    </row>
    <row r="147" customFormat="false" ht="15" hidden="false" customHeight="true" outlineLevel="0" collapsed="false">
      <c r="B147" s="5" t="s">
        <v>299</v>
      </c>
      <c r="C147" s="47" t="n">
        <v>1</v>
      </c>
      <c r="D147" s="13" t="s">
        <v>142</v>
      </c>
      <c r="E147" s="17" t="n">
        <v>120</v>
      </c>
      <c r="F147" s="7" t="n">
        <f aca="false">C147*E147</f>
        <v>120</v>
      </c>
    </row>
    <row r="148" customFormat="false" ht="15" hidden="false" customHeight="true" outlineLevel="0" collapsed="false">
      <c r="B148" s="5" t="s">
        <v>303</v>
      </c>
      <c r="C148" s="47" t="n">
        <v>1</v>
      </c>
      <c r="D148" s="13" t="s">
        <v>142</v>
      </c>
      <c r="E148" s="17" t="n">
        <v>200</v>
      </c>
      <c r="F148" s="7" t="n">
        <f aca="false">C148*E148</f>
        <v>200</v>
      </c>
    </row>
    <row r="149" customFormat="false" ht="15" hidden="false" customHeight="true" outlineLevel="0" collapsed="false">
      <c r="B149" s="5" t="s">
        <v>304</v>
      </c>
      <c r="C149" s="47" t="n">
        <v>1</v>
      </c>
      <c r="D149" s="13" t="s">
        <v>142</v>
      </c>
      <c r="E149" s="17" t="n">
        <v>30</v>
      </c>
      <c r="F149" s="7" t="n">
        <f aca="false">C149*E149</f>
        <v>30</v>
      </c>
    </row>
    <row r="150" customFormat="false" ht="15" hidden="false" customHeight="true" outlineLevel="0" collapsed="false">
      <c r="B150" s="5" t="s">
        <v>305</v>
      </c>
      <c r="C150" s="47" t="n">
        <v>1</v>
      </c>
      <c r="D150" s="13" t="s">
        <v>142</v>
      </c>
      <c r="E150" s="17" t="n">
        <v>150</v>
      </c>
      <c r="F150" s="7" t="n">
        <f aca="false">C150*E150</f>
        <v>150</v>
      </c>
      <c r="G150" s="52" t="s">
        <v>306</v>
      </c>
    </row>
    <row r="151" customFormat="false" ht="15" hidden="false" customHeight="true" outlineLevel="0" collapsed="false">
      <c r="B151" s="5" t="s">
        <v>307</v>
      </c>
      <c r="C151" s="47" t="n">
        <v>1</v>
      </c>
      <c r="D151" s="13" t="s">
        <v>142</v>
      </c>
      <c r="E151" s="17" t="n">
        <v>400</v>
      </c>
      <c r="F151" s="7" t="n">
        <f aca="false">C151*E151</f>
        <v>400</v>
      </c>
    </row>
    <row r="152" customFormat="false" ht="15" hidden="false" customHeight="true" outlineLevel="0" collapsed="false">
      <c r="B152" s="5" t="s">
        <v>308</v>
      </c>
      <c r="C152" s="47" t="n">
        <v>1</v>
      </c>
      <c r="D152" s="13" t="s">
        <v>142</v>
      </c>
      <c r="E152" s="17" t="n">
        <v>100</v>
      </c>
      <c r="F152" s="7" t="n">
        <f aca="false">C152*E152</f>
        <v>100</v>
      </c>
      <c r="G152" s="52" t="s">
        <v>309</v>
      </c>
    </row>
    <row r="153" customFormat="false" ht="15" hidden="false" customHeight="true" outlineLevel="0" collapsed="false">
      <c r="B153" s="5" t="s">
        <v>289</v>
      </c>
      <c r="C153" s="47" t="n">
        <v>1</v>
      </c>
      <c r="D153" s="13" t="s">
        <v>142</v>
      </c>
      <c r="E153" s="17" t="n">
        <v>18</v>
      </c>
      <c r="F153" s="7" t="n">
        <f aca="false">C153*E153</f>
        <v>18</v>
      </c>
    </row>
    <row r="154" customFormat="false" ht="15" hidden="false" customHeight="true" outlineLevel="0" collapsed="false">
      <c r="B154" s="5" t="s">
        <v>290</v>
      </c>
      <c r="C154" s="47" t="n">
        <v>1</v>
      </c>
      <c r="D154" s="13" t="s">
        <v>142</v>
      </c>
      <c r="E154" s="17" t="n">
        <v>8</v>
      </c>
      <c r="F154" s="7" t="n">
        <f aca="false">C154*E154</f>
        <v>8</v>
      </c>
    </row>
    <row r="155" customFormat="false" ht="15" hidden="false" customHeight="true" outlineLevel="0" collapsed="false">
      <c r="B155" s="5" t="s">
        <v>291</v>
      </c>
      <c r="C155" s="47" t="n">
        <v>2</v>
      </c>
      <c r="D155" s="13" t="s">
        <v>142</v>
      </c>
      <c r="E155" s="17" t="n">
        <v>34</v>
      </c>
      <c r="F155" s="7" t="n">
        <f aca="false">C155*E155</f>
        <v>68</v>
      </c>
      <c r="G155" s="52" t="s">
        <v>292</v>
      </c>
    </row>
    <row r="156" customFormat="false" ht="15" hidden="false" customHeight="true" outlineLevel="0" collapsed="false">
      <c r="B156" s="5" t="s">
        <v>293</v>
      </c>
      <c r="C156" s="47" t="n">
        <v>1</v>
      </c>
      <c r="D156" s="13" t="s">
        <v>142</v>
      </c>
      <c r="E156" s="17" t="n">
        <v>120</v>
      </c>
      <c r="F156" s="7" t="n">
        <f aca="false">C156*E156</f>
        <v>120</v>
      </c>
      <c r="G156" s="52" t="s">
        <v>310</v>
      </c>
    </row>
    <row r="157" customFormat="false" ht="15" hidden="false" customHeight="true" outlineLevel="0" collapsed="false">
      <c r="B157" s="5" t="s">
        <v>298</v>
      </c>
      <c r="C157" s="47" t="n">
        <v>1</v>
      </c>
      <c r="D157" s="13" t="s">
        <v>142</v>
      </c>
      <c r="E157" s="17" t="n">
        <v>120</v>
      </c>
      <c r="F157" s="7" t="n">
        <f aca="false">C157*E157</f>
        <v>120</v>
      </c>
      <c r="G157" s="52" t="s">
        <v>311</v>
      </c>
    </row>
    <row r="158" customFormat="false" ht="15" hidden="false" customHeight="true" outlineLevel="0" collapsed="false">
      <c r="B158" s="5" t="s">
        <v>300</v>
      </c>
      <c r="C158" s="47" t="n">
        <v>1</v>
      </c>
      <c r="D158" s="13" t="s">
        <v>142</v>
      </c>
      <c r="E158" s="17" t="n">
        <v>50</v>
      </c>
      <c r="F158" s="7" t="n">
        <f aca="false">C158*E158</f>
        <v>50</v>
      </c>
    </row>
    <row r="159" customFormat="false" ht="15.75" hidden="false" customHeight="true" outlineLevel="0" collapsed="false">
      <c r="B159" s="51" t="s">
        <v>149</v>
      </c>
      <c r="C159" s="51"/>
      <c r="D159" s="51"/>
      <c r="E159" s="51"/>
      <c r="F159" s="16" t="n">
        <f aca="false">SUM(F146:F158)</f>
        <v>1414</v>
      </c>
    </row>
    <row r="161" customFormat="false" ht="18" hidden="false" customHeight="true" outlineLevel="0" collapsed="false">
      <c r="B161" s="3" t="s">
        <v>312</v>
      </c>
      <c r="C161" s="3"/>
      <c r="D161" s="3"/>
      <c r="E161" s="3"/>
      <c r="F161" s="3"/>
      <c r="G161" s="3"/>
    </row>
    <row r="162" customFormat="false" ht="15.75" hidden="false" customHeight="true" outlineLevel="0" collapsed="false">
      <c r="B162" s="4" t="s">
        <v>135</v>
      </c>
      <c r="C162" s="4" t="s">
        <v>136</v>
      </c>
      <c r="D162" s="4" t="s">
        <v>137</v>
      </c>
      <c r="E162" s="4" t="s">
        <v>138</v>
      </c>
      <c r="F162" s="4" t="s">
        <v>139</v>
      </c>
      <c r="G162" s="4" t="s">
        <v>140</v>
      </c>
    </row>
    <row r="163" customFormat="false" ht="15" hidden="false" customHeight="true" outlineLevel="0" collapsed="false">
      <c r="B163" s="5" t="s">
        <v>313</v>
      </c>
      <c r="C163" s="47" t="n">
        <v>1</v>
      </c>
      <c r="D163" s="13" t="s">
        <v>145</v>
      </c>
      <c r="E163" s="17" t="n">
        <v>50</v>
      </c>
      <c r="F163" s="7" t="n">
        <f aca="false">C163*E163</f>
        <v>50</v>
      </c>
    </row>
    <row r="164" customFormat="false" ht="15" hidden="false" customHeight="true" outlineLevel="0" collapsed="false">
      <c r="B164" s="5" t="s">
        <v>314</v>
      </c>
      <c r="C164" s="47" t="n">
        <v>1</v>
      </c>
      <c r="D164" s="13" t="s">
        <v>315</v>
      </c>
      <c r="E164" s="17" t="n">
        <v>15</v>
      </c>
      <c r="F164" s="7" t="n">
        <f aca="false">C164*E164</f>
        <v>15</v>
      </c>
      <c r="G164" s="14" t="s">
        <v>316</v>
      </c>
    </row>
    <row r="165" customFormat="false" ht="15" hidden="false" customHeight="true" outlineLevel="0" collapsed="false">
      <c r="B165" s="5" t="s">
        <v>317</v>
      </c>
      <c r="C165" s="47" t="n">
        <v>6</v>
      </c>
      <c r="D165" s="13" t="s">
        <v>142</v>
      </c>
      <c r="E165" s="17" t="n">
        <v>4</v>
      </c>
      <c r="F165" s="7" t="n">
        <f aca="false">C165*E165</f>
        <v>24</v>
      </c>
      <c r="G165" s="14" t="s">
        <v>318</v>
      </c>
    </row>
    <row r="166" customFormat="false" ht="15" hidden="false" customHeight="true" outlineLevel="0" collapsed="false">
      <c r="B166" s="48" t="s">
        <v>319</v>
      </c>
      <c r="C166" s="47" t="n">
        <v>1</v>
      </c>
      <c r="D166" s="49" t="s">
        <v>154</v>
      </c>
      <c r="E166" s="17" t="n">
        <v>0</v>
      </c>
      <c r="F166" s="7" t="n">
        <f aca="false">C166*E166</f>
        <v>0</v>
      </c>
      <c r="G166" s="50" t="s">
        <v>320</v>
      </c>
    </row>
    <row r="167" customFormat="false" ht="15" hidden="false" customHeight="true" outlineLevel="0" collapsed="false">
      <c r="B167" s="5" t="s">
        <v>291</v>
      </c>
      <c r="C167" s="47" t="n">
        <v>4</v>
      </c>
      <c r="D167" s="13" t="s">
        <v>142</v>
      </c>
      <c r="E167" s="17" t="n">
        <v>15</v>
      </c>
      <c r="F167" s="7" t="n">
        <f aca="false">C167*E167</f>
        <v>60</v>
      </c>
    </row>
    <row r="168" customFormat="false" ht="15.75" hidden="false" customHeight="true" outlineLevel="0" collapsed="false">
      <c r="B168" s="51" t="s">
        <v>149</v>
      </c>
      <c r="C168" s="51"/>
      <c r="D168" s="51"/>
      <c r="E168" s="51"/>
      <c r="F168" s="16" t="n">
        <f aca="false">SUM(F163:F167)</f>
        <v>149</v>
      </c>
    </row>
    <row r="170" customFormat="false" ht="18" hidden="false" customHeight="true" outlineLevel="0" collapsed="false">
      <c r="B170" s="3" t="s">
        <v>321</v>
      </c>
      <c r="C170" s="3"/>
      <c r="D170" s="3"/>
      <c r="E170" s="3"/>
      <c r="F170" s="3"/>
      <c r="G170" s="3"/>
    </row>
    <row r="171" customFormat="false" ht="15.75" hidden="false" customHeight="true" outlineLevel="0" collapsed="false">
      <c r="B171" s="4" t="s">
        <v>135</v>
      </c>
      <c r="C171" s="4" t="s">
        <v>136</v>
      </c>
      <c r="D171" s="4" t="s">
        <v>137</v>
      </c>
      <c r="E171" s="4" t="s">
        <v>138</v>
      </c>
      <c r="F171" s="4" t="s">
        <v>139</v>
      </c>
      <c r="G171" s="4" t="s">
        <v>140</v>
      </c>
    </row>
    <row r="172" customFormat="false" ht="15" hidden="false" customHeight="true" outlineLevel="0" collapsed="false">
      <c r="B172" s="5" t="s">
        <v>322</v>
      </c>
      <c r="C172" s="47" t="n">
        <v>20</v>
      </c>
      <c r="D172" s="13" t="s">
        <v>315</v>
      </c>
      <c r="E172" s="17" t="n">
        <v>20</v>
      </c>
      <c r="F172" s="7" t="n">
        <f aca="false">C172*E172</f>
        <v>400</v>
      </c>
      <c r="G172" s="14" t="s">
        <v>323</v>
      </c>
    </row>
    <row r="173" customFormat="false" ht="15" hidden="false" customHeight="true" outlineLevel="0" collapsed="false">
      <c r="B173" s="5" t="s">
        <v>324</v>
      </c>
      <c r="C173" s="47" t="n">
        <v>1</v>
      </c>
      <c r="D173" s="13" t="s">
        <v>145</v>
      </c>
      <c r="E173" s="17" t="n">
        <v>50</v>
      </c>
      <c r="F173" s="7" t="n">
        <f aca="false">C173*E173</f>
        <v>50</v>
      </c>
    </row>
    <row r="174" customFormat="false" ht="15" hidden="false" customHeight="true" outlineLevel="0" collapsed="false">
      <c r="B174" s="5" t="s">
        <v>325</v>
      </c>
      <c r="C174" s="47" t="n">
        <v>2</v>
      </c>
      <c r="D174" s="13" t="s">
        <v>154</v>
      </c>
      <c r="E174" s="17" t="n">
        <v>4.5</v>
      </c>
      <c r="F174" s="7" t="n">
        <f aca="false">C174*E174</f>
        <v>9</v>
      </c>
    </row>
    <row r="175" customFormat="false" ht="15" hidden="false" customHeight="true" outlineLevel="0" collapsed="false">
      <c r="B175" s="5" t="s">
        <v>326</v>
      </c>
      <c r="C175" s="47" t="n">
        <v>4</v>
      </c>
      <c r="D175" s="13" t="s">
        <v>145</v>
      </c>
      <c r="E175" s="17" t="n">
        <v>13</v>
      </c>
      <c r="F175" s="7" t="n">
        <f aca="false">C175*E175</f>
        <v>52</v>
      </c>
    </row>
    <row r="176" customFormat="false" ht="15.75" hidden="false" customHeight="true" outlineLevel="0" collapsed="false">
      <c r="B176" s="51" t="s">
        <v>149</v>
      </c>
      <c r="C176" s="51"/>
      <c r="D176" s="51"/>
      <c r="E176" s="51"/>
      <c r="F176" s="16" t="n">
        <f aca="false">SUM(F172:F175)</f>
        <v>511</v>
      </c>
    </row>
    <row r="178" customFormat="false" ht="18" hidden="false" customHeight="true" outlineLevel="0" collapsed="false">
      <c r="B178" s="3" t="s">
        <v>327</v>
      </c>
      <c r="C178" s="3"/>
      <c r="D178" s="3"/>
      <c r="E178" s="3"/>
      <c r="F178" s="3"/>
      <c r="G178" s="3"/>
    </row>
    <row r="179" customFormat="false" ht="15.75" hidden="false" customHeight="true" outlineLevel="0" collapsed="false">
      <c r="B179" s="4" t="s">
        <v>135</v>
      </c>
      <c r="C179" s="4" t="s">
        <v>136</v>
      </c>
      <c r="D179" s="4" t="s">
        <v>137</v>
      </c>
      <c r="E179" s="4" t="s">
        <v>138</v>
      </c>
      <c r="F179" s="4" t="s">
        <v>139</v>
      </c>
      <c r="G179" s="4" t="s">
        <v>140</v>
      </c>
    </row>
    <row r="180" customFormat="false" ht="15" hidden="false" customHeight="true" outlineLevel="0" collapsed="false">
      <c r="B180" s="5" t="s">
        <v>328</v>
      </c>
      <c r="C180" s="47" t="n">
        <v>18</v>
      </c>
      <c r="D180" s="13" t="s">
        <v>329</v>
      </c>
      <c r="E180" s="17" t="n">
        <v>28</v>
      </c>
      <c r="F180" s="7" t="n">
        <f aca="false">C180*E180</f>
        <v>504</v>
      </c>
      <c r="G180" s="14" t="s">
        <v>330</v>
      </c>
    </row>
    <row r="181" customFormat="false" ht="15" hidden="false" customHeight="true" outlineLevel="0" collapsed="false">
      <c r="B181" s="5" t="s">
        <v>331</v>
      </c>
      <c r="C181" s="47" t="n">
        <v>5</v>
      </c>
      <c r="D181" s="13" t="s">
        <v>142</v>
      </c>
      <c r="E181" s="17" t="n">
        <v>11.5</v>
      </c>
      <c r="F181" s="7" t="n">
        <f aca="false">C181*E181</f>
        <v>57.5</v>
      </c>
      <c r="G181" s="14" t="s">
        <v>332</v>
      </c>
    </row>
    <row r="182" customFormat="false" ht="15" hidden="false" customHeight="true" outlineLevel="0" collapsed="false">
      <c r="B182" s="5" t="s">
        <v>333</v>
      </c>
      <c r="C182" s="47" t="n">
        <v>4</v>
      </c>
      <c r="D182" s="13" t="s">
        <v>142</v>
      </c>
      <c r="E182" s="17" t="n">
        <v>13</v>
      </c>
      <c r="F182" s="7" t="n">
        <f aca="false">C182*E182</f>
        <v>52</v>
      </c>
      <c r="G182" s="14" t="s">
        <v>334</v>
      </c>
    </row>
    <row r="183" customFormat="false" ht="15" hidden="false" customHeight="true" outlineLevel="0" collapsed="false">
      <c r="B183" s="5" t="s">
        <v>335</v>
      </c>
      <c r="C183" s="47" t="n">
        <v>2</v>
      </c>
      <c r="D183" s="13" t="s">
        <v>196</v>
      </c>
      <c r="E183" s="17" t="n">
        <v>45</v>
      </c>
      <c r="F183" s="7" t="n">
        <f aca="false">C183*E183</f>
        <v>90</v>
      </c>
    </row>
    <row r="184" customFormat="false" ht="15.75" hidden="false" customHeight="true" outlineLevel="0" collapsed="false">
      <c r="B184" s="51" t="s">
        <v>149</v>
      </c>
      <c r="C184" s="51"/>
      <c r="D184" s="51"/>
      <c r="E184" s="51"/>
      <c r="F184" s="16" t="n">
        <f aca="false">SUM(F180:F183)</f>
        <v>703.5</v>
      </c>
    </row>
    <row r="186" customFormat="false" ht="18" hidden="false" customHeight="true" outlineLevel="0" collapsed="false">
      <c r="B186" s="3" t="s">
        <v>336</v>
      </c>
      <c r="C186" s="3"/>
      <c r="D186" s="3"/>
      <c r="E186" s="3"/>
      <c r="F186" s="3"/>
      <c r="G186" s="3"/>
    </row>
    <row r="187" customFormat="false" ht="15.75" hidden="false" customHeight="true" outlineLevel="0" collapsed="false">
      <c r="B187" s="4" t="s">
        <v>135</v>
      </c>
      <c r="C187" s="4" t="s">
        <v>136</v>
      </c>
      <c r="D187" s="4" t="s">
        <v>137</v>
      </c>
      <c r="E187" s="4" t="s">
        <v>138</v>
      </c>
      <c r="F187" s="4" t="s">
        <v>139</v>
      </c>
      <c r="G187" s="4" t="s">
        <v>140</v>
      </c>
    </row>
    <row r="188" customFormat="false" ht="15" hidden="false" customHeight="true" outlineLevel="0" collapsed="false">
      <c r="B188" s="5" t="s">
        <v>337</v>
      </c>
      <c r="C188" s="47" t="n">
        <v>1</v>
      </c>
      <c r="D188" s="13" t="s">
        <v>249</v>
      </c>
      <c r="E188" s="17" t="n">
        <v>150</v>
      </c>
      <c r="F188" s="7" t="n">
        <f aca="false">C188*E188</f>
        <v>150</v>
      </c>
      <c r="G188" s="14" t="s">
        <v>338</v>
      </c>
    </row>
    <row r="189" customFormat="false" ht="15.75" hidden="false" customHeight="true" outlineLevel="0" collapsed="false">
      <c r="B189" s="51" t="s">
        <v>149</v>
      </c>
      <c r="C189" s="51"/>
      <c r="D189" s="51"/>
      <c r="E189" s="51"/>
      <c r="F189" s="16" t="n">
        <f aca="false">SUM(F188:F188)</f>
        <v>150</v>
      </c>
    </row>
  </sheetData>
  <mergeCells count="42">
    <mergeCell ref="B1:G1"/>
    <mergeCell ref="B2:G2"/>
    <mergeCell ref="B4:G4"/>
    <mergeCell ref="B9:E9"/>
    <mergeCell ref="B11:G11"/>
    <mergeCell ref="B16:E16"/>
    <mergeCell ref="B18:G18"/>
    <mergeCell ref="B24:E24"/>
    <mergeCell ref="B26:G26"/>
    <mergeCell ref="B29:E29"/>
    <mergeCell ref="B31:G31"/>
    <mergeCell ref="B39:E39"/>
    <mergeCell ref="B41:G41"/>
    <mergeCell ref="B50:E50"/>
    <mergeCell ref="B52:G52"/>
    <mergeCell ref="B58:E58"/>
    <mergeCell ref="B60:G60"/>
    <mergeCell ref="B68:E68"/>
    <mergeCell ref="B70:G70"/>
    <mergeCell ref="B75:E75"/>
    <mergeCell ref="B77:G77"/>
    <mergeCell ref="B92:E92"/>
    <mergeCell ref="B94:G94"/>
    <mergeCell ref="B99:E99"/>
    <mergeCell ref="B101:G101"/>
    <mergeCell ref="B105:E105"/>
    <mergeCell ref="B107:G107"/>
    <mergeCell ref="B115:E115"/>
    <mergeCell ref="B117:G117"/>
    <mergeCell ref="B125:E125"/>
    <mergeCell ref="B127:G127"/>
    <mergeCell ref="B142:E142"/>
    <mergeCell ref="B144:G144"/>
    <mergeCell ref="B159:E159"/>
    <mergeCell ref="B161:G161"/>
    <mergeCell ref="B168:E168"/>
    <mergeCell ref="B170:G170"/>
    <mergeCell ref="B176:E176"/>
    <mergeCell ref="B178:G178"/>
    <mergeCell ref="B184:E184"/>
    <mergeCell ref="B186:G186"/>
    <mergeCell ref="B189:E1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2026-03-11T19:27:06Z</dcterms:created>
  <dc:creator>openpyxl</dc:creator>
  <dc:description/>
  <dc:language>en-US</dc:language>
  <cp:lastModifiedBy>Jonathan Rauckhorst</cp:lastModifiedBy>
  <dcterms:modified xsi:type="dcterms:W3CDTF">2026-03-26T04:10:14Z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